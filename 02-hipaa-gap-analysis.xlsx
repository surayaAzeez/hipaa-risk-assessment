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et Inventory" sheetId="2" state="visible" r:id="rId4"/>
    <sheet name="Control Gap Assessment" sheetId="3" state="visible" r:id="rId5"/>
    <sheet name="Risk Register" sheetId="4" state="visible" r:id="rId6"/>
    <sheet name="POA&amp;M" sheetId="5" state="visible" r:id="rId7"/>
  </sheets>
  <definedNames>
    <definedName function="false" hidden="true" localSheetId="1" name="_xlnm._FilterDatabase" vbProcedure="false">'Asset Inventory'!$A$3:$H$17</definedName>
    <definedName function="false" hidden="true" localSheetId="2" name="_xlnm._FilterDatabase" vbProcedure="false">'Control Gap Assessment'!$A$3:$K$68</definedName>
    <definedName function="false" hidden="true" localSheetId="4" name="_xlnm._FilterDatabase" vbProcedure="false">'POA&amp;M'!$A$3:$L$23</definedName>
    <definedName function="false" hidden="true" localSheetId="3" name="_xlnm._FilterDatabase" vbProcedure="false">'Risk Register'!$A$3:$R$18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<sst xmlns="http://schemas.openxmlformats.org/spreadsheetml/2006/main" count="1302" uniqueCount="881">
  <si>
    <t xml:space="preserve">HIPAA Security Rule Gap Analysis &amp; Risk Register</t>
  </si>
  <si>
    <t xml:space="preserve">Practice project  ·  Fictional clinic scenario  ·  45 CFR Part 164 Subpart C</t>
  </si>
  <si>
    <t xml:space="preserve">PRACTICE PROJECT — FICTIONAL SCENARIO</t>
  </si>
  <si>
    <t xml:space="preserve">I invented Northwind Family Health as a scenario so I could work through a full HIPAA Security Rule gap analysis end to end. The clinic, its systems, and its problems are made up. The control set, the CFR citations, and the risk method are real: 45 CFR Part 164 Subpart C, NIST SP 800-66 Rev. 2, and NIST SP 800-30 Rev. 1.</t>
  </si>
  <si>
    <t xml:space="preserve">TAB GUIDE</t>
  </si>
  <si>
    <t xml:space="preserve">Asset Inventory</t>
  </si>
  <si>
    <t xml:space="preserve">14 systems with ePHI classification, criticality, and owner. You cannot assess risk to data until you know where it lives.</t>
  </si>
  <si>
    <t xml:space="preserve">Control Gap Assessment</t>
  </si>
  <si>
    <t xml:space="preserve">All 65 standards and implementation specifications of the Security Rule, with a status, the evidence you would need to verify it, the gap in this scenario, and a NIST SP 800-53r5 mapping.</t>
  </si>
  <si>
    <t xml:space="preserve">Risk Register</t>
  </si>
  <si>
    <t xml:space="preserve">15 risks scored Likelihood x Impact per NIST SP 800-30r1, with a treatment decision and residual risk.</t>
  </si>
  <si>
    <t xml:space="preserve">POA&amp;M</t>
  </si>
  <si>
    <t xml:space="preserve">20 remediation items with owner, rough cost, milestones, and target dates.</t>
  </si>
  <si>
    <t xml:space="preserve">RISK SCORING KEY  —  Risk Score = Likelihood (1-5) × Impact (1-5)</t>
  </si>
  <si>
    <t xml:space="preserve">Score</t>
  </si>
  <si>
    <t xml:space="preserve">Tier</t>
  </si>
  <si>
    <t xml:space="preserve">Remediation expectation</t>
  </si>
  <si>
    <t xml:space="preserve">20 - 25</t>
  </si>
  <si>
    <t xml:space="preserve">Critical</t>
  </si>
  <si>
    <t xml:space="preserve">Remediate within 30 days; executive visibility required</t>
  </si>
  <si>
    <t xml:space="preserve">12 - 16</t>
  </si>
  <si>
    <t xml:space="preserve">High</t>
  </si>
  <si>
    <t xml:space="preserve">Remediate within 90 days</t>
  </si>
  <si>
    <t xml:space="preserve">6 - 10</t>
  </si>
  <si>
    <t xml:space="preserve">Moderate</t>
  </si>
  <si>
    <t xml:space="preserve">Remediate within 180 days, or formally accept with documented rationale</t>
  </si>
  <si>
    <t xml:space="preserve">1 - 5</t>
  </si>
  <si>
    <t xml:space="preserve">Low</t>
  </si>
  <si>
    <t xml:space="preserve">Monitor; accept with annual review</t>
  </si>
  <si>
    <t xml:space="preserve">CONTROL ASSESSMENT SCALE</t>
  </si>
  <si>
    <t xml:space="preserve">Rating</t>
  </si>
  <si>
    <t xml:space="preserve">Definition</t>
  </si>
  <si>
    <t xml:space="preserve">Count</t>
  </si>
  <si>
    <t xml:space="preserve">% of 65</t>
  </si>
  <si>
    <t xml:space="preserve">Implemented</t>
  </si>
  <si>
    <t xml:space="preserve">Control operating effectively; evidence sampled and validated</t>
  </si>
  <si>
    <t xml:space="preserve">Partially Implemented</t>
  </si>
  <si>
    <t xml:space="preserve">Control exists but has scope, consistency, or documentation defects</t>
  </si>
  <si>
    <t xml:space="preserve">Not Implemented</t>
  </si>
  <si>
    <t xml:space="preserve">Control absent, or an addressable specification with no documented determination</t>
  </si>
  <si>
    <t xml:space="preserve">Alternative Measure</t>
  </si>
  <si>
    <t xml:space="preserve">Addressable specification not implemented as written; documented equivalent in place</t>
  </si>
  <si>
    <t xml:space="preserve">Not Applicable</t>
  </si>
  <si>
    <t xml:space="preserve">Documented rationale; specification does not apply to this entity</t>
  </si>
  <si>
    <t xml:space="preserve">TOTAL</t>
  </si>
  <si>
    <t xml:space="preserve">RISK PROFILE — INHERENT vs RESIDUAL</t>
  </si>
  <si>
    <t xml:space="preserve">Inherent (today)</t>
  </si>
  <si>
    <t xml:space="preserve">Residual (after full POA&amp;M execution)</t>
  </si>
  <si>
    <t xml:space="preserve">HOW TO USE THIS WORKBOOK</t>
  </si>
  <si>
    <t xml:space="preserve">•</t>
  </si>
  <si>
    <t xml:space="preserve">Yellow-shaded cells are the only inputs. Everything else is a formula or written analysis.</t>
  </si>
  <si>
    <t xml:space="preserve">On the Risk Register, Likelihood (H) and Impact (I) are inputs; Inherent Score, Tier, Residual Score and Residual Tier calculate automatically.</t>
  </si>
  <si>
    <t xml:space="preserve">Changing a rating updates the tier colouring, the counts on this tab, and the risk profile above.</t>
  </si>
  <si>
    <t xml:space="preserve">Example — R-01 is scored Likelihood 5 × Impact 5 = 25 (Critical). Set H4 to 2 and the row recalculates to 10 (Moderate).</t>
  </si>
  <si>
    <t xml:space="preserve">Every gap cites the specific CFR provision it fails, so anyone reading it can check the reasoning against the regulation.</t>
  </si>
  <si>
    <t xml:space="preserve">AUTHORITIES</t>
  </si>
  <si>
    <t xml:space="preserve">45 CFR Part 164 Subpart C — Security Standards for the Protection of Electronic Protected Health Information</t>
  </si>
  <si>
    <t xml:space="preserve">45 CFR Part 164 Subpart D — Notification in the Case of Breach of Unsecured Protected Health Information</t>
  </si>
  <si>
    <t xml:space="preserve">NIST SP 800-66 Rev. 2 (February 2024) — Implementing the HIPAA Security Rule: A Cybersecurity Resource Guide</t>
  </si>
  <si>
    <t xml:space="preserve">NIST SP 800-30 Rev. 1 — Guide for Conducting Risk Assessments</t>
  </si>
  <si>
    <t xml:space="preserve">HHS / ASTP Security Risk Assessment (SRA) Tool v3.6 (September 2025)</t>
  </si>
  <si>
    <t xml:space="preserve">HHS Notice of Proposed Rulemaking, 90 Fed. Reg. 898 (6 January 2025) — proposed only; not final as of August 2026</t>
  </si>
  <si>
    <t xml:space="preserve">Asset and ePHI Inventory</t>
  </si>
  <si>
    <t xml:space="preserve">Systems that create, receive, maintain, or transmit ePHI in the scenario  ·  12 of 14 systems hold ePHI</t>
  </si>
  <si>
    <t xml:space="preserve">Asset ID</t>
  </si>
  <si>
    <t xml:space="preserve">System</t>
  </si>
  <si>
    <t xml:space="preserve">Type</t>
  </si>
  <si>
    <t xml:space="preserve">Contains ePHI</t>
  </si>
  <si>
    <t xml:space="preserve">Volume</t>
  </si>
  <si>
    <t xml:space="preserve">Criticality</t>
  </si>
  <si>
    <t xml:space="preserve">System Owner</t>
  </si>
  <si>
    <t xml:space="preserve">ePHI Description</t>
  </si>
  <si>
    <t xml:space="preserve">SYS-01</t>
  </si>
  <si>
    <t xml:space="preserve">MedStream EHR</t>
  </si>
  <si>
    <t xml:space="preserve">Cloud SaaS (Business Associate)</t>
  </si>
  <si>
    <t xml:space="preserve">Yes - Primary repository</t>
  </si>
  <si>
    <t xml:space="preserve">118,000 records</t>
  </si>
  <si>
    <t xml:space="preserve">Clinical Director</t>
  </si>
  <si>
    <t xml:space="preserve">All clinical documentation, orders, results, demographics</t>
  </si>
  <si>
    <t xml:space="preserve">SYS-02</t>
  </si>
  <si>
    <t xml:space="preserve">ClearPath RCM</t>
  </si>
  <si>
    <t xml:space="preserve">Yes</t>
  </si>
  <si>
    <t xml:space="preserve">42,000 records</t>
  </si>
  <si>
    <t xml:space="preserve">Billing Manager</t>
  </si>
  <si>
    <t xml:space="preserve">Claims, remittance, insurance identifiers</t>
  </si>
  <si>
    <t xml:space="preserve">SYS-03</t>
  </si>
  <si>
    <t xml:space="preserve">Microsoft 365 (Exchange / SharePoint / Teams)</t>
  </si>
  <si>
    <t xml:space="preserve">Yes - Incidental</t>
  </si>
  <si>
    <t xml:space="preserve">Unbounded</t>
  </si>
  <si>
    <t xml:space="preserve">IT Lead</t>
  </si>
  <si>
    <t xml:space="preserve">Referral correspondence, prior authorisations, attachments</t>
  </si>
  <si>
    <t xml:space="preserve">SYS-04</t>
  </si>
  <si>
    <t xml:space="preserve">FS-01 file server</t>
  </si>
  <si>
    <t xml:space="preserve">On-premises Windows Server 2019</t>
  </si>
  <si>
    <t xml:space="preserve">~380 GB scanned intake</t>
  </si>
  <si>
    <t xml:space="preserve">Scanned intake forms, consent documents, imaging landing directory</t>
  </si>
  <si>
    <t xml:space="preserve">SYS-05</t>
  </si>
  <si>
    <t xml:space="preserve">Buckeye Imaging results feed</t>
  </si>
  <si>
    <t xml:space="preserve">Inbound SFTP (Business Associate)</t>
  </si>
  <si>
    <t xml:space="preserve">~900 studies/month</t>
  </si>
  <si>
    <t xml:space="preserve">Radiology reports and study metadata</t>
  </si>
  <si>
    <t xml:space="preserve">SYS-06</t>
  </si>
  <si>
    <t xml:space="preserve">AfterHours Answering Service portal</t>
  </si>
  <si>
    <t xml:space="preserve">~450 call notes/month</t>
  </si>
  <si>
    <t xml:space="preserve">Practice Administrator</t>
  </si>
  <si>
    <t xml:space="preserve">Patient name, callback number, presenting symptoms</t>
  </si>
  <si>
    <t xml:space="preserve">SYS-07</t>
  </si>
  <si>
    <t xml:space="preserve">FaxLogic digital fax server</t>
  </si>
  <si>
    <t xml:space="preserve">On-premises appliance</t>
  </si>
  <si>
    <t xml:space="preserve">~61,000 stored images</t>
  </si>
  <si>
    <t xml:space="preserve">Inbound and outbound faxes retained as unencrypted TIFF</t>
  </si>
  <si>
    <t xml:space="preserve">SYS-08</t>
  </si>
  <si>
    <t xml:space="preserve">Backup infrastructure (Veeam / NAS / Wasabi)</t>
  </si>
  <si>
    <t xml:space="preserve">Hybrid on-premises and cloud</t>
  </si>
  <si>
    <t xml:space="preserve">Yes - Copies of all ePHI</t>
  </si>
  <si>
    <t xml:space="preserve">Full estate</t>
  </si>
  <si>
    <t xml:space="preserve">Nightly local backup, weekly offsite copy</t>
  </si>
  <si>
    <t xml:space="preserve">SYS-09</t>
  </si>
  <si>
    <t xml:space="preserve">Active Directory / DNS / DHCP</t>
  </si>
  <si>
    <t xml:space="preserve">No - Identity only</t>
  </si>
  <si>
    <t xml:space="preserve">91 accounts</t>
  </si>
  <si>
    <t xml:space="preserve">Authentication and authorisation for the on-premises estate</t>
  </si>
  <si>
    <t xml:space="preserve">SYS-10</t>
  </si>
  <si>
    <t xml:space="preserve">Workstations (62)</t>
  </si>
  <si>
    <t xml:space="preserve">Endpoint</t>
  </si>
  <si>
    <t xml:space="preserve">Yes - Cached and local</t>
  </si>
  <si>
    <t xml:space="preserve">Varies by device</t>
  </si>
  <si>
    <t xml:space="preserve">56 of 62 encrypted; 6 unencrypted</t>
  </si>
  <si>
    <t xml:space="preserve">SYS-11</t>
  </si>
  <si>
    <t xml:space="preserve">Laptops (14)</t>
  </si>
  <si>
    <t xml:space="preserve">Mobile endpoint</t>
  </si>
  <si>
    <t xml:space="preserve">8 of 14 encrypted; 6 unencrypted; used for remote clinical work</t>
  </si>
  <si>
    <t xml:space="preserve">SYS-12</t>
  </si>
  <si>
    <t xml:space="preserve">Clinical tablets (9)</t>
  </si>
  <si>
    <t xml:space="preserve">Session and cached</t>
  </si>
  <si>
    <t xml:space="preserve">Point-of-care EHR access in exam rooms</t>
  </si>
  <si>
    <t xml:space="preserve">SYS-13</t>
  </si>
  <si>
    <t xml:space="preserve">Network infrastructure (FortiGate 60F x3, Meraki AP x11)</t>
  </si>
  <si>
    <t xml:space="preserve">Network</t>
  </si>
  <si>
    <t xml:space="preserve">Transit only</t>
  </si>
  <si>
    <t xml:space="preserve">N/A</t>
  </si>
  <si>
    <t xml:space="preserve">Perimeter, segmentation, wireless across three sites</t>
  </si>
  <si>
    <t xml:space="preserve">SYS-14</t>
  </si>
  <si>
    <t xml:space="preserve">Patient check-in kiosks (6)</t>
  </si>
  <si>
    <t xml:space="preserve">Yes - Session</t>
  </si>
  <si>
    <t xml:space="preserve">Session only</t>
  </si>
  <si>
    <t xml:space="preserve">Demographics and insurance capture at check-in</t>
  </si>
  <si>
    <t xml:space="preserve">HIPAA Security Rule Control Gap Assessment</t>
  </si>
  <si>
    <t xml:space="preserve">All 65 standards and implementation specifications  ·  45 CFR §§ 164.308, 164.310, 164.312, 164.314, 164.316</t>
  </si>
  <si>
    <t xml:space="preserve">Ref</t>
  </si>
  <si>
    <t xml:space="preserve">Safeguard</t>
  </si>
  <si>
    <t xml:space="preserve">CFR Citation</t>
  </si>
  <si>
    <t xml:space="preserve">Standard / Implementation Specification</t>
  </si>
  <si>
    <t xml:space="preserve">Control Objective</t>
  </si>
  <si>
    <t xml:space="preserve">Assessment Status</t>
  </si>
  <si>
    <t xml:space="preserve">Evidence You Would Need</t>
  </si>
  <si>
    <t xml:space="preserve">Gap / Observation</t>
  </si>
  <si>
    <t xml:space="preserve">Risk ID</t>
  </si>
  <si>
    <t xml:space="preserve">NIST SP 800-53r5</t>
  </si>
  <si>
    <t xml:space="preserve">A-01</t>
  </si>
  <si>
    <t xml:space="preserve">Administrative</t>
  </si>
  <si>
    <t xml:space="preserve">164.308(a)(1)(i)</t>
  </si>
  <si>
    <t xml:space="preserve">Security Management Process</t>
  </si>
  <si>
    <t xml:space="preserve">Standard</t>
  </si>
  <si>
    <t xml:space="preserve">Implement policies and procedures to prevent, detect, contain, and correct security violations.</t>
  </si>
  <si>
    <t xml:space="preserve">Inspect 2014 policy binder; interview Practice Administrator and IT Lead.</t>
  </si>
  <si>
    <t xml:space="preserve">No functioning security management process exists. The 2014 binder is an unfilled vendor template. There is no security committee, no defined cadence, and no evidence any of the four implementation specifications below have operated.</t>
  </si>
  <si>
    <t xml:space="preserve">R-02</t>
  </si>
  <si>
    <t xml:space="preserve">PM-9, PL-1</t>
  </si>
  <si>
    <t xml:space="preserve">A-02</t>
  </si>
  <si>
    <t xml:space="preserve">164.308(a)(1)(ii)(A)</t>
  </si>
  <si>
    <t xml:space="preserve">Risk Analysis</t>
  </si>
  <si>
    <t xml:space="preserve">Required</t>
  </si>
  <si>
    <t xml:space="preserve">Conduct an accurate and thorough assessment of potential risks and vulnerabilities to the confidentiality, integrity, and availability of ePHI held by the entity.</t>
  </si>
  <si>
    <t xml:space="preserve">Request all prior risk analyses. Confirm with owner and Practice Administrator.</t>
  </si>
  <si>
    <t xml:space="preserve">No risk analysis has ever been conducted. This is the most frequently cited deficiency in OCR enforcement and is the foundational control on which every other risk decision depends. This engagement produces the first one.</t>
  </si>
  <si>
    <t xml:space="preserve">RA-3</t>
  </si>
  <si>
    <t xml:space="preserve">A-03</t>
  </si>
  <si>
    <t xml:space="preserve">164.308(a)(1)(ii)(B)</t>
  </si>
  <si>
    <t xml:space="preserve">Risk Management</t>
  </si>
  <si>
    <t xml:space="preserve">Implement security measures sufficient to reduce risks and vulnerabilities to a reasonable and appropriate level.</t>
  </si>
  <si>
    <t xml:space="preserve">Interview; no risk register, remediation plan, or acceptance documentation exists.</t>
  </si>
  <si>
    <t xml:space="preserve">With no risk analysis there is no risk management. Security spending has been reactive and undocumented. No risk has ever been formally accepted, transferred, or assigned an owner.</t>
  </si>
  <si>
    <t xml:space="preserve">RA-7, PM-4</t>
  </si>
  <si>
    <t xml:space="preserve">A-04</t>
  </si>
  <si>
    <t xml:space="preserve">164.308(a)(1)(ii)(C)</t>
  </si>
  <si>
    <t xml:space="preserve">Sanction Policy</t>
  </si>
  <si>
    <t xml:space="preserve">Apply appropriate sanctions against workforce members who fail to comply with security policies and procedures.</t>
  </si>
  <si>
    <t xml:space="preserve">Review employee handbook (rev. 2023); interview HR Manager.</t>
  </si>
  <si>
    <t xml:space="preserve">The handbook contains a general disciplinary policy referencing 'violation of company policy' but does not reference HIPAA, information security, or ePHI, and does not establish a graduated sanction scale. No sanction has ever been applied for a security matter. Workforce members do not know a security sanction policy exists.</t>
  </si>
  <si>
    <t xml:space="preserve">R-13</t>
  </si>
  <si>
    <t xml:space="preserve">PS-8</t>
  </si>
  <si>
    <t xml:space="preserve">A-05</t>
  </si>
  <si>
    <t xml:space="preserve">164.308(a)(1)(ii)(D)</t>
  </si>
  <si>
    <t xml:space="preserve">Information System Activity Review</t>
  </si>
  <si>
    <t xml:space="preserve">Implement procedures to regularly review records of information system activity, such as audit logs, access reports, and security incident tracking reports.</t>
  </si>
  <si>
    <t xml:space="preserve">Request 12 months of log review records; check whether the MedStream audit reports have ever been run.</t>
  </si>
  <si>
    <t xml:space="preserve">Logs are generated and retained but have never been reviewed. MedStream's break-the-glass and same-surname access reports are available in the vendor console and have never been opened. Veeam job failure alerts route to an unmonitored shared mailbox.</t>
  </si>
  <si>
    <t xml:space="preserve">R-11</t>
  </si>
  <si>
    <t xml:space="preserve">AU-6</t>
  </si>
  <si>
    <t xml:space="preserve">A-06</t>
  </si>
  <si>
    <t xml:space="preserve">164.308(a)(2)</t>
  </si>
  <si>
    <t xml:space="preserve">Assigned Security Responsibility</t>
  </si>
  <si>
    <t xml:space="preserve">Standard (R)</t>
  </si>
  <si>
    <t xml:space="preserve">Identify the security official responsible for developing and implementing the required policies and procedures.</t>
  </si>
  <si>
    <t xml:space="preserve">Review 2014 designation memo; interview the named individual.</t>
  </si>
  <si>
    <t xml:space="preserve">The Practice Administrator is named as Security Official in a 2014 memo, but holds the role as an undefined collateral duty with no allocated time, budget authority, or documented responsibilities. She was unaware of several core obligations of the role. The designation exists on paper only.</t>
  </si>
  <si>
    <t xml:space="preserve">PM-2</t>
  </si>
  <si>
    <t xml:space="preserve">A-07</t>
  </si>
  <si>
    <t xml:space="preserve">164.308(a)(3)(i)</t>
  </si>
  <si>
    <t xml:space="preserve">Workforce Security</t>
  </si>
  <si>
    <t xml:space="preserve">Ensure all workforce members have appropriate access to ePHI and prevent those who should not have access from obtaining it.</t>
  </si>
  <si>
    <t xml:space="preserve">Sample 20 of 91 accounts against role; interview HR and IT.</t>
  </si>
  <si>
    <t xml:space="preserve">Access is granted broadly by role at hire and rarely constrained thereafter. 20-account sample found 4 users with EHR access exceeding their job function, including a billing clerk with full clinical chart access. No least-privilege standard is defined.</t>
  </si>
  <si>
    <t xml:space="preserve">R-04</t>
  </si>
  <si>
    <t xml:space="preserve">AC-2, PS-3</t>
  </si>
  <si>
    <t xml:space="preserve">A-08</t>
  </si>
  <si>
    <t xml:space="preserve">164.308(a)(3)(ii)(A)</t>
  </si>
  <si>
    <t xml:space="preserve">Authorization and/or Supervision</t>
  </si>
  <si>
    <t xml:space="preserve">Addressable</t>
  </si>
  <si>
    <t xml:space="preserve">Implement procedures for the authorization and/or supervision of workforce members who work with ePHI or in locations where it might be accessed.</t>
  </si>
  <si>
    <t xml:space="preserve">Review 6 new-hire access request records; interview IT Lead.</t>
  </si>
  <si>
    <t xml:space="preserve">Access is authorized verbally by a supervisor and actioned by IT with no written record in 4 of 6 cases sampled. Clinical students and per-diem staff receive standing accounts with no supervision requirement documented.</t>
  </si>
  <si>
    <t xml:space="preserve">AC-2, PS-7</t>
  </si>
  <si>
    <t xml:space="preserve">A-09</t>
  </si>
  <si>
    <t xml:space="preserve">164.308(a)(3)(ii)(B)</t>
  </si>
  <si>
    <t xml:space="preserve">Workforce Clearance Procedure</t>
  </si>
  <si>
    <t xml:space="preserve">Implement procedures to determine that a workforce member's access to ePHI is appropriate.</t>
  </si>
  <si>
    <t xml:space="preserve">Review HR onboarding checklist; sample 8 personnel files.</t>
  </si>
  <si>
    <t xml:space="preserve">Background checks are performed for clinical staff only. Administrative and IT staff, including the two individuals with domain administrator rights, received no clearance check. No periodic re-verification of access appropriateness occurs.</t>
  </si>
  <si>
    <t xml:space="preserve">PS-3, AC-2</t>
  </si>
  <si>
    <t xml:space="preserve">A-10</t>
  </si>
  <si>
    <t xml:space="preserve">164.308(a)(3)(ii)(C)</t>
  </si>
  <si>
    <t xml:space="preserve">Termination Procedures</t>
  </si>
  <si>
    <t xml:space="preserve">Implement procedures for terminating access to ePHI when employment or another arrangement ends.</t>
  </si>
  <si>
    <t xml:space="preserve">Reconcile the 2023-2025 separation list against Active Directory and MedStream user lists.</t>
  </si>
  <si>
    <t xml:space="preserve">No documented termination procedure for system access. Reconciliation found 7 enabled AD accounts and 4 active MedStream accounts for separated workforce members; one showed a successful login 11 days after the separation date. The HR exit checklist covers keys and badges but not system access.</t>
  </si>
  <si>
    <t xml:space="preserve">PS-4, AC-2(3)</t>
  </si>
  <si>
    <t xml:space="preserve">A-11</t>
  </si>
  <si>
    <t xml:space="preserve">164.308(a)(4)(i)</t>
  </si>
  <si>
    <t xml:space="preserve">Information Access Management</t>
  </si>
  <si>
    <t xml:space="preserve">Implement policies and procedures for authorizing access to ePHI consistent with the Privacy Rule.</t>
  </si>
  <si>
    <t xml:space="preserve">Review all 9 MedStream role templates against job descriptions; sample 20 accounts against assigned role; interview Clinical Director.</t>
  </si>
  <si>
    <t xml:space="preserve">A documented role-based access model is configured in MedStream mapping 9 job functions to permission sets, and it is consistent with the Privacy Rule minimum necessary standard. Access is authorized against a defined role rather than granted ad hoc. The absence of a governing written policy is tracked under D-01, and the absence of periodic review under A-14; the access authorization model itself is sound.</t>
  </si>
  <si>
    <t xml:space="preserve">AC-1, AC-3</t>
  </si>
  <si>
    <t xml:space="preserve">A-12</t>
  </si>
  <si>
    <t xml:space="preserve">164.308(a)(4)(ii)(A)</t>
  </si>
  <si>
    <t xml:space="preserve">Isolating Health Care Clearinghouse Functions</t>
  </si>
  <si>
    <t xml:space="preserve">If the entity operates a clearinghouse as part of a larger organization, protect the clearinghouse's ePHI from the larger organization.</t>
  </si>
  <si>
    <t xml:space="preserve">Confirm entity structure with the owner; review the ClearPath service agreement.</t>
  </si>
  <si>
    <t xml:space="preserve">Northwind does not operate a health care clearinghouse. Clearinghouse functions are performed by ClearPath RCM as a business associate. Rationale documented; specification does not apply.</t>
  </si>
  <si>
    <t xml:space="preserve">A-13</t>
  </si>
  <si>
    <t xml:space="preserve">164.308(a)(4)(ii)(B)</t>
  </si>
  <si>
    <t xml:space="preserve">Access Authorization</t>
  </si>
  <si>
    <t xml:space="preserve">Implement policies and procedures for granting access to ePHI through a workstation, transaction, program, process, or other mechanism.</t>
  </si>
  <si>
    <t xml:space="preserve">Sample 6 access grants; review ticketing records.</t>
  </si>
  <si>
    <t xml:space="preserve">Grants occur but are not consistently documented. No standard access request form. No separation of duties between requester and approver — the IT Lead has, on at least two occasions, both requested and granted elevated access.</t>
  </si>
  <si>
    <t xml:space="preserve">AC-3, AC-6</t>
  </si>
  <si>
    <t xml:space="preserve">A-14</t>
  </si>
  <si>
    <t xml:space="preserve">164.308(a)(4)(ii)(C)</t>
  </si>
  <si>
    <t xml:space="preserve">Access Establishment and Modification</t>
  </si>
  <si>
    <t xml:space="preserve">Establish, document, review, and modify a user's right of access to a workstation, transaction, program, or process.</t>
  </si>
  <si>
    <t xml:space="preserve">Request access review records for the past 24 months.</t>
  </si>
  <si>
    <t xml:space="preserve">No periodic user access review has ever been conducted. Role changes and internal transfers result in accumulated access rather than modified access — 3 of 20 sampled users retained rights from a prior role.</t>
  </si>
  <si>
    <t xml:space="preserve">AC-2(1), AC-2(J)</t>
  </si>
  <si>
    <t xml:space="preserve">A-15</t>
  </si>
  <si>
    <t xml:space="preserve">164.308(a)(5)(i)</t>
  </si>
  <si>
    <t xml:space="preserve">Security Awareness and Training</t>
  </si>
  <si>
    <t xml:space="preserve">Implement a security awareness and training program for all members of the workforce, including management.</t>
  </si>
  <si>
    <t xml:space="preserve">Request training completion records; review 2019 orientation deck; interview 11 workforce members.</t>
  </si>
  <si>
    <t xml:space="preserve">The only documented security training was a 2019 onboarding module. 34 workforce members hired since have received no security training. No annual refresher for anyone. 7 of 11 interviewees could not describe how to report a suspected security incident.</t>
  </si>
  <si>
    <t xml:space="preserve">AT-2</t>
  </si>
  <si>
    <t xml:space="preserve">A-16</t>
  </si>
  <si>
    <t xml:space="preserve">164.308(a)(5)(ii)(A)</t>
  </si>
  <si>
    <t xml:space="preserve">Security Reminders</t>
  </si>
  <si>
    <t xml:space="preserve">Provide periodic security updates to the workforce.</t>
  </si>
  <si>
    <t xml:space="preserve">Review staff communications and intranet postings for the past 24 months.</t>
  </si>
  <si>
    <t xml:space="preserve">No periodic security communications of any kind. No determination was ever documented as to whether reminders are reasonable and appropriate, which is itself a failure of the addressable-specification obligation under 164.306(d)(3).</t>
  </si>
  <si>
    <t xml:space="preserve">AT-2, AT-2(2)</t>
  </si>
  <si>
    <t xml:space="preserve">A-17</t>
  </si>
  <si>
    <t xml:space="preserve">164.308(a)(5)(ii)(B)</t>
  </si>
  <si>
    <t xml:space="preserve">Protection from Malicious Software</t>
  </si>
  <si>
    <t xml:space="preserve">Implement procedures for guarding against, detecting, and reporting malicious software.</t>
  </si>
  <si>
    <t xml:space="preserve">Inspect endpoint configuration on 9 devices; review patch status of both servers.</t>
  </si>
  <si>
    <t xml:space="preserve">Microsoft Defender is present at default settings with no central management console, no alerting, and no verification of coverage. No EDR. FS-01 has not been patched since August 2025. No documented patch management cycle exists.</t>
  </si>
  <si>
    <t xml:space="preserve">R-05</t>
  </si>
  <si>
    <t xml:space="preserve">SI-3, SI-2</t>
  </si>
  <si>
    <t xml:space="preserve">A-18</t>
  </si>
  <si>
    <t xml:space="preserve">164.308(a)(5)(ii)(C)</t>
  </si>
  <si>
    <t xml:space="preserve">Log-in Monitoring</t>
  </si>
  <si>
    <t xml:space="preserve">Implement procedures for monitoring log-in attempts and reporting discrepancies.</t>
  </si>
  <si>
    <t xml:space="preserve">Review available authentication logging; interview IT Lead.</t>
  </si>
  <si>
    <t xml:space="preserve">Failed login data is captured by MedStream and Entra ID but is never monitored, alerted on, or reported. No one would learn of a password-spray campaign against the practice.</t>
  </si>
  <si>
    <t xml:space="preserve">R-01</t>
  </si>
  <si>
    <t xml:space="preserve">AC-7, AU-6</t>
  </si>
  <si>
    <t xml:space="preserve">A-19</t>
  </si>
  <si>
    <t xml:space="preserve">164.308(a)(5)(ii)(D)</t>
  </si>
  <si>
    <t xml:space="preserve">Password Management</t>
  </si>
  <si>
    <t xml:space="preserve">Implement procedures for creating, changing, and safeguarding passwords.</t>
  </si>
  <si>
    <t xml:space="preserve">Review AD and MedStream password policy; observe workstation areas.</t>
  </si>
  <si>
    <t xml:space="preserve">Technical enforcement exists (8-character minimum, 90-day expiry) but is weaker than current NIST SP 800-63B guidance and is not supported by written procedure or training. Written passwords sit on notes at two Westerville workstations.</t>
  </si>
  <si>
    <t xml:space="preserve">IA-5</t>
  </si>
  <si>
    <t xml:space="preserve">A-20</t>
  </si>
  <si>
    <t xml:space="preserve">164.308(a)(6)(i)</t>
  </si>
  <si>
    <t xml:space="preserve">Security Incident Procedures</t>
  </si>
  <si>
    <t xml:space="preserve">Implement policies and procedures to address security incidents.</t>
  </si>
  <si>
    <t xml:space="preserve">Request incident response plan and incident log.</t>
  </si>
  <si>
    <t xml:space="preserve">No incident response plan, no incident log, no defined roles, no severity criteria, and no reporting channel communicated to the workforce. Two potential incidents described in interviews (a lost phone with email access in 2024, a suspected phishing click in 2025) were never recorded or assessed for breach.</t>
  </si>
  <si>
    <t xml:space="preserve">IR-1, IR-4</t>
  </si>
  <si>
    <t xml:space="preserve">A-21</t>
  </si>
  <si>
    <t xml:space="preserve">164.308(a)(6)(ii)</t>
  </si>
  <si>
    <t xml:space="preserve">Response and Reporting</t>
  </si>
  <si>
    <t xml:space="preserve">Identify and respond to suspected or known security incidents; mitigate harmful effects to the extent practicable; and document incidents and their outcomes.</t>
  </si>
  <si>
    <t xml:space="preserve">Request 24 months of incident documentation.</t>
  </si>
  <si>
    <t xml:space="preserve">No documented incidents and no documentation capability. Critically, with no incident procedure there is no breach risk assessment process under 164.402, meaning Northwind cannot determine whether an incident is reportable within the 60-day deadline of 164.404.</t>
  </si>
  <si>
    <t xml:space="preserve">IR-4, IR-6, IR-8</t>
  </si>
  <si>
    <t xml:space="preserve">A-22</t>
  </si>
  <si>
    <t xml:space="preserve">164.308(a)(7)(i)</t>
  </si>
  <si>
    <t xml:space="preserve">Contingency Plan</t>
  </si>
  <si>
    <t xml:space="preserve">Establish policies and procedures for responding to an emergency or other occurrence that damages systems containing ePHI.</t>
  </si>
  <si>
    <t xml:space="preserve">Review the one-page continuity document; interview Clinical Director and IT Lead.</t>
  </si>
  <si>
    <t xml:space="preserve">A one-page vendor contact list exists and is described internally as the DR plan. It contains no roles, no decision authority, no recovery sequence, no downtime clinical procedures, and no communication plan. Clinical staff have no documented paper-based downtime workflow.</t>
  </si>
  <si>
    <t xml:space="preserve">R-07</t>
  </si>
  <si>
    <t xml:space="preserve">CP-1, CP-2</t>
  </si>
  <si>
    <t xml:space="preserve">A-23</t>
  </si>
  <si>
    <t xml:space="preserve">164.308(a)(7)(ii)(A)</t>
  </si>
  <si>
    <t xml:space="preserve">Data Backup Plan</t>
  </si>
  <si>
    <t xml:space="preserve">Establish and implement procedures to create and maintain retrievable exact copies of ePHI.</t>
  </si>
  <si>
    <t xml:space="preserve">Review Veeam job configuration and 12 months of job history; verify Wasabi bucket contents.</t>
  </si>
  <si>
    <t xml:space="preserve">Nightly backups run and mostly succeed, but the Wasabi offsite copy job failed silently 14 times in 12 months with no one reviewing the alerts. Backups are not immutable and the NAS is reachable from the production network, so a ransomware event could encrypt the backups with the source data.</t>
  </si>
  <si>
    <t xml:space="preserve">CP-9</t>
  </si>
  <si>
    <t xml:space="preserve">A-24</t>
  </si>
  <si>
    <t xml:space="preserve">164.308(a)(7)(ii)(B)</t>
  </si>
  <si>
    <t xml:space="preserve">Disaster Recovery Plan</t>
  </si>
  <si>
    <t xml:space="preserve">Establish procedures to restore any loss of data.</t>
  </si>
  <si>
    <t xml:space="preserve">Request restore procedures and test evidence.</t>
  </si>
  <si>
    <t xml:space="preserve">No documented restore procedure. No restore has ever been tested. Backup existence is not backup capability — an untested restore is an assumption, not a control.</t>
  </si>
  <si>
    <t xml:space="preserve">CP-10</t>
  </si>
  <si>
    <t xml:space="preserve">A-25</t>
  </si>
  <si>
    <t xml:space="preserve">164.308(a)(7)(ii)(C)</t>
  </si>
  <si>
    <t xml:space="preserve">Emergency Mode Operation Plan</t>
  </si>
  <si>
    <t xml:space="preserve">Establish procedures to enable continuation of critical business processes for protection of ePHI security while operating in emergency mode.</t>
  </si>
  <si>
    <t xml:space="preserve">Interview Clinical Director; request downtime procedures.</t>
  </si>
  <si>
    <t xml:space="preserve">No emergency mode procedures. Staff described improvising with paper during a four-hour EHR outage in 2025, with no guidance on how ePHI recorded on paper should be secured, tracked, or reconciled back into the record.</t>
  </si>
  <si>
    <t xml:space="preserve">CP-2, CP-7</t>
  </si>
  <si>
    <t xml:space="preserve">A-26</t>
  </si>
  <si>
    <t xml:space="preserve">164.308(a)(7)(ii)(D)</t>
  </si>
  <si>
    <t xml:space="preserve">Testing and Revision Procedures</t>
  </si>
  <si>
    <t xml:space="preserve">Implement procedures for periodic testing and revision of contingency plans.</t>
  </si>
  <si>
    <t xml:space="preserve">Request test records.</t>
  </si>
  <si>
    <t xml:space="preserve">No contingency plan test has ever been performed and no determination was documented as to whether testing is reasonable and appropriate.</t>
  </si>
  <si>
    <t xml:space="preserve">CP-4</t>
  </si>
  <si>
    <t xml:space="preserve">A-27</t>
  </si>
  <si>
    <t xml:space="preserve">164.308(a)(7)(ii)(E)</t>
  </si>
  <si>
    <t xml:space="preserve">Applications and Data Criticality Analysis</t>
  </si>
  <si>
    <t xml:space="preserve">Assess the relative criticality of specific applications and data in support of other contingency plan components.</t>
  </si>
  <si>
    <t xml:space="preserve">Request a criticality analysis; build the asset inventory if none exists.</t>
  </si>
  <si>
    <t xml:space="preserve">No criticality analysis existed. The asset inventory produced by this engagement assigns preliminary criticality ratings and should be formally adopted, reviewed with clinical leadership, and used to drive RTO/RPO.</t>
  </si>
  <si>
    <t xml:space="preserve">CP-2(8), RA-2</t>
  </si>
  <si>
    <t xml:space="preserve">A-28</t>
  </si>
  <si>
    <t xml:space="preserve">164.308(a)(8)</t>
  </si>
  <si>
    <t xml:space="preserve">Evaluation</t>
  </si>
  <si>
    <t xml:space="preserve">Perform a periodic technical and nontechnical evaluation establishing the extent to which security policies and procedures meet the requirements of this subpart.</t>
  </si>
  <si>
    <t xml:space="preserve">Request prior evaluations.</t>
  </si>
  <si>
    <t xml:space="preserve">No periodic evaluation, technical or nontechnical, has ever been performed. No vulnerability scanning, no penetration testing, no policy review cycle. This assessment establishes the first baseline.</t>
  </si>
  <si>
    <t xml:space="preserve">R-06</t>
  </si>
  <si>
    <t xml:space="preserve">CA-2, CA-7</t>
  </si>
  <si>
    <t xml:space="preserve">A-29</t>
  </si>
  <si>
    <t xml:space="preserve">164.308(b)(1)</t>
  </si>
  <si>
    <t xml:space="preserve">Business Associate Contracts and Other Arrangements</t>
  </si>
  <si>
    <t xml:space="preserve">Obtain satisfactory assurances that a business associate will appropriately safeguard ePHI it creates, receives, maintains, or transmits on the entity's behalf.</t>
  </si>
  <si>
    <t xml:space="preserve">Review all five BA relationships and available contracts and attestations.</t>
  </si>
  <si>
    <t xml:space="preserve">Three of five relationships are deficient. AfterHours Medical Answering has handled ePHI since 2019 with no BAA. The ClearPath BAA expired and predates the 2013 Omnibus Rule. No process exists for obtaining or reviewing security assurances at onboarding.</t>
  </si>
  <si>
    <t xml:space="preserve">R-03</t>
  </si>
  <si>
    <t xml:space="preserve">SA-9, PS-7</t>
  </si>
  <si>
    <t xml:space="preserve">A-30</t>
  </si>
  <si>
    <t xml:space="preserve">164.308(b)(3)</t>
  </si>
  <si>
    <t xml:space="preserve">Written Contract or Other Arrangement</t>
  </si>
  <si>
    <t xml:space="preserve">Document the satisfactory assurances required by this standard through a written contract or other arrangement meeting §164.314(a).</t>
  </si>
  <si>
    <t xml:space="preserve">Inspect all available executed BAAs against the §164.314(a)(2)(i) required-element checklist.</t>
  </si>
  <si>
    <t xml:space="preserve">Two of five BAAs meet current requirements. One is absent entirely and one is materially deficient. No central contract register exists; two of the agreements had to be located by the vendors themselves.</t>
  </si>
  <si>
    <t xml:space="preserve">SA-9, CA-3</t>
  </si>
  <si>
    <t xml:space="preserve">P-01</t>
  </si>
  <si>
    <t xml:space="preserve">Physical</t>
  </si>
  <si>
    <t xml:space="preserve">164.310(a)(1)</t>
  </si>
  <si>
    <t xml:space="preserve">Facility Access Controls</t>
  </si>
  <si>
    <t xml:space="preserve">Limit physical access to electronic information systems and the facilities in which they are housed, while ensuring properly authorized access is allowed.</t>
  </si>
  <si>
    <t xml:space="preserve">Site walk at each clinic during operating hours; check server room, cabinet, and entry controls.</t>
  </si>
  <si>
    <t xml:space="preserve">Perimeter controls exist (locked exterior doors, keypad staff entry, alarms) but internal controls are weak. The Dublin IT closet housing FS-01 and the backup NAS was propped open for ventilation on both site visits. Keypad codes unchanged since 2019.</t>
  </si>
  <si>
    <t xml:space="preserve">R-10</t>
  </si>
  <si>
    <t xml:space="preserve">PE-3</t>
  </si>
  <si>
    <t xml:space="preserve">P-02</t>
  </si>
  <si>
    <t xml:space="preserve">164.310(a)(2)(i)</t>
  </si>
  <si>
    <t xml:space="preserve">Contingency Operations</t>
  </si>
  <si>
    <t xml:space="preserve">Establish procedures allowing facility access in support of restoration of lost data under the disaster recovery and emergency mode operation plans.</t>
  </si>
  <si>
    <t xml:space="preserve">Interview IT Lead and Practice Administrator.</t>
  </si>
  <si>
    <t xml:space="preserve">No documented emergency facility access procedure. Only two individuals hold Dublin server-room keys and neither arrangement is documented; if both were unavailable during an incident there is no defined path to physical access.</t>
  </si>
  <si>
    <t xml:space="preserve">PE-3, CP-2</t>
  </si>
  <si>
    <t xml:space="preserve">P-03</t>
  </si>
  <si>
    <t xml:space="preserve">164.310(a)(2)(ii)</t>
  </si>
  <si>
    <t xml:space="preserve">Facility Security Plan</t>
  </si>
  <si>
    <t xml:space="preserve">Implement policies and procedures to safeguard the facility and equipment from unauthorized physical access, tampering, and theft.</t>
  </si>
  <si>
    <t xml:space="preserve">Request facility security plan.</t>
  </si>
  <si>
    <t xml:space="preserve">No written facility security plan for any site. Physical security decisions are made informally by each site manager, producing the inconsistency observed (Grove City's key custody is sound; Westerville's key sits in an unlocked drawer).</t>
  </si>
  <si>
    <t xml:space="preserve">PE-1, PE-3</t>
  </si>
  <si>
    <t xml:space="preserve">P-04</t>
  </si>
  <si>
    <t xml:space="preserve">164.310(a)(2)(iii)</t>
  </si>
  <si>
    <t xml:space="preserve">Access Control and Validation Procedures</t>
  </si>
  <si>
    <t xml:space="preserve">Implement procedures to control and validate a person's access to facilities based on their role or function, including visitor control.</t>
  </si>
  <si>
    <t xml:space="preserve">Site walks; interview front-desk staff at all three sites.</t>
  </si>
  <si>
    <t xml:space="preserve">No visitor log, no badge or sign-in requirement, no escort policy at any site. Nothing stops someone walking from the Westerville waiting area into the clinical corridor. No procedure distinguishes clinical, administrative, and vendor access.</t>
  </si>
  <si>
    <t xml:space="preserve">PE-2, PE-8</t>
  </si>
  <si>
    <t xml:space="preserve">P-05</t>
  </si>
  <si>
    <t xml:space="preserve">164.310(a)(2)(iv)</t>
  </si>
  <si>
    <t xml:space="preserve">Maintenance Records</t>
  </si>
  <si>
    <t xml:space="preserve">Document repairs and modifications to the physical components of a facility related to security, such as hardware, walls, doors, and locks.</t>
  </si>
  <si>
    <t xml:space="preserve">Request maintenance records.</t>
  </si>
  <si>
    <t xml:space="preserve">No maintenance records for security-relevant physical components. Lock and keypad changes, when they occur, are not documented. No determination was documented as to whether this specification is reasonable and appropriate.</t>
  </si>
  <si>
    <t xml:space="preserve">MA-2, PE-3</t>
  </si>
  <si>
    <t xml:space="preserve">P-06</t>
  </si>
  <si>
    <t xml:space="preserve">164.310(b)</t>
  </si>
  <si>
    <t xml:space="preserve">Workstation Use</t>
  </si>
  <si>
    <t xml:space="preserve">Specify the proper functions to be performed, the manner in which they are performed, and the physical attributes of the surroundings of workstations that access ePHI.</t>
  </si>
  <si>
    <t xml:space="preserve">Request workstation use policy. observe workstation placement at all sites.</t>
  </si>
  <si>
    <t xml:space="preserve">No workstation use policy. No acceptable-use standard, no clear-screen expectation, no guidance on personal device use or home workstation environments for the 12 providers who work remotely.</t>
  </si>
  <si>
    <t xml:space="preserve">R-14</t>
  </si>
  <si>
    <t xml:space="preserve">PL-4, AC-2</t>
  </si>
  <si>
    <t xml:space="preserve">P-07</t>
  </si>
  <si>
    <t xml:space="preserve">164.310(c)</t>
  </si>
  <si>
    <t xml:space="preserve">Workstation Security</t>
  </si>
  <si>
    <t xml:space="preserve">Implement physical safeguards for all workstations that access ePHI, restricting access to authorized users.</t>
  </si>
  <si>
    <t xml:space="preserve">Walk the floor at each site during operating hours; check screen angles, privacy filters, and lock timers.</t>
  </si>
  <si>
    <t xml:space="preserve">Reception workstations at Dublin and Grove City face the waiting area with no privacy filters; patient names were legible from the third waiting-room chair. Automatic logoff is set to 30 minutes estate-wide. Clinical workstations sit unlocked and unattended in vacant exam rooms.</t>
  </si>
  <si>
    <t xml:space="preserve">PE-5, AC-11</t>
  </si>
  <si>
    <t xml:space="preserve">P-08</t>
  </si>
  <si>
    <t xml:space="preserve">164.310(d)(1)</t>
  </si>
  <si>
    <t xml:space="preserve">Device and Media Controls</t>
  </si>
  <si>
    <t xml:space="preserve">Implement policies and procedures governing the receipt and removal of hardware and electronic media containing ePHI into, out of, and within the facility.</t>
  </si>
  <si>
    <t xml:space="preserve">Request media handling policy and asset movement records.</t>
  </si>
  <si>
    <t xml:space="preserve">No device and media control policy. No record of hardware movement between the three sites, which occurs regularly. Removable media use is unrestricted — USB ports are enabled on all endpoints with no encryption requirement or logging.</t>
  </si>
  <si>
    <t xml:space="preserve">R-08</t>
  </si>
  <si>
    <t xml:space="preserve">MP-1, MP-5</t>
  </si>
  <si>
    <t xml:space="preserve">P-09</t>
  </si>
  <si>
    <t xml:space="preserve">164.310(d)(2)(i)</t>
  </si>
  <si>
    <t xml:space="preserve">Disposal</t>
  </si>
  <si>
    <t xml:space="preserve">Implement policies and procedures to address the final disposition of ePHI and the hardware or electronic media on which it is stored.</t>
  </si>
  <si>
    <t xml:space="preserve">Interview IT Lead; inspect the Dublin storage area.</t>
  </si>
  <si>
    <t xml:space="preserve">Paper disposal is sound — a certified shredding vendor collects under contract. Electronic media disposal is not: 11 decommissioned workstations and 3 hard drives sit in an unlocked Dublin storage room, some dating to 2021, with no sanitization performed and no certificates of destruction on file.</t>
  </si>
  <si>
    <t xml:space="preserve">MP-6</t>
  </si>
  <si>
    <t xml:space="preserve">P-10</t>
  </si>
  <si>
    <t xml:space="preserve">164.310(d)(2)(ii)</t>
  </si>
  <si>
    <t xml:space="preserve">Media Re-use</t>
  </si>
  <si>
    <t xml:space="preserve">Implement procedures for removal of ePHI from electronic media before the media is made available for re-use.</t>
  </si>
  <si>
    <t xml:space="preserve">Interview IT Lead.</t>
  </si>
  <si>
    <t xml:space="preserve">No sanitization procedure. Workstations are reassigned between staff by deleting the user profile, which does not remove cached ePHI or recoverable data. No use of a documented sanitization standard such as NIST SP 800-88.</t>
  </si>
  <si>
    <t xml:space="preserve">P-11</t>
  </si>
  <si>
    <t xml:space="preserve">164.310(d)(2)(iii)</t>
  </si>
  <si>
    <t xml:space="preserve">Accountability</t>
  </si>
  <si>
    <t xml:space="preserve">Maintain a record of the movements of hardware and electronic media and any person responsible therefore.</t>
  </si>
  <si>
    <t xml:space="preserve">Request asset register and movement log.</t>
  </si>
  <si>
    <t xml:space="preserve">No asset register existed before this engagement and no movement log exists. The inventory produced here should be formally adopted and maintained with assigned custodians.</t>
  </si>
  <si>
    <t xml:space="preserve">MP-5(4), CM-8</t>
  </si>
  <si>
    <t xml:space="preserve">P-12</t>
  </si>
  <si>
    <t xml:space="preserve">164.310(d)(2)(iv)</t>
  </si>
  <si>
    <t xml:space="preserve">Data Backup and Storage</t>
  </si>
  <si>
    <t xml:space="preserve">Create a retrievable exact copy of ePHI, when needed, before movement of equipment.</t>
  </si>
  <si>
    <t xml:space="preserve">Interview IT Lead regarding equipment replacement process.</t>
  </si>
  <si>
    <t xml:space="preserve">No procedure requires a verified copy of ePHI before equipment is moved or replaced. One documented instance in 2024 where a provider's laptop was replaced and locally stored documents were lost.</t>
  </si>
  <si>
    <t xml:space="preserve">CP-9, MP-5</t>
  </si>
  <si>
    <t xml:space="preserve">T-01</t>
  </si>
  <si>
    <t xml:space="preserve">Technical</t>
  </si>
  <si>
    <t xml:space="preserve">164.312(a)(1)</t>
  </si>
  <si>
    <t xml:space="preserve">Access Control</t>
  </si>
  <si>
    <t xml:space="preserve">Implement technical policies and procedures for electronic information systems that maintain ePHI to allow access only to persons or software programs that have been granted access rights.</t>
  </si>
  <si>
    <t xml:space="preserve">Review MedStream role configuration; sample 20 accounts; test access from an unmanaged device.</t>
  </si>
  <si>
    <t xml:space="preserve">Role-based access is configured in MedStream, providing a baseline, but is undermined by the absence of MFA, no access reviews, and 4 of 20 sampled users holding access beyond their function.</t>
  </si>
  <si>
    <t xml:space="preserve">T-02</t>
  </si>
  <si>
    <t xml:space="preserve">164.312(a)(2)(i)</t>
  </si>
  <si>
    <t xml:space="preserve">Unique User Identification</t>
  </si>
  <si>
    <t xml:space="preserve">Assign a unique name and/or number for identifying and tracking user identity.</t>
  </si>
  <si>
    <t xml:space="preserve">Review all 91 accounts in AD and MedStream.</t>
  </si>
  <si>
    <t xml:space="preserve">Individual accounts are the norm, but three shared accounts remain: a front-desk kiosk account used by all reception staff at Dublin, a shared 'nurses' station' Windows login at Westerville, and a shared local administrator credential on the backup NAS. Shared accounts defeat both this specification and audit controls under 164.312(b).</t>
  </si>
  <si>
    <t xml:space="preserve">IA-2, IA-4</t>
  </si>
  <si>
    <t xml:space="preserve">T-03</t>
  </si>
  <si>
    <t xml:space="preserve">164.312(a)(2)(ii)</t>
  </si>
  <si>
    <t xml:space="preserve">Emergency Access Procedure</t>
  </si>
  <si>
    <t xml:space="preserve">Establish procedures for obtaining necessary ePHI during an emergency.</t>
  </si>
  <si>
    <t xml:space="preserve">Review MedStream break-the-glass configuration; request written procedure.</t>
  </si>
  <si>
    <t xml:space="preserve">MedStream provides a break-the-glass capability and it is enabled, but there is no written procedure governing when it may be used, who may authorize it, or how its use is reviewed afterward. Its access log has never been examined.</t>
  </si>
  <si>
    <t xml:space="preserve">AC-3, CP-2</t>
  </si>
  <si>
    <t xml:space="preserve">T-04</t>
  </si>
  <si>
    <t xml:space="preserve">164.312(a)(2)(iii)</t>
  </si>
  <si>
    <t xml:space="preserve">Automatic Logoff</t>
  </si>
  <si>
    <t xml:space="preserve">Implement electronic procedures that terminate an electronic session after a predetermined time of inactivity.</t>
  </si>
  <si>
    <t xml:space="preserve">Time session termination on a sample of workstations and in MedStream.</t>
  </si>
  <si>
    <t xml:space="preserve">Automatic logoff is enabled but the interval is 30 minutes estate-wide, applied uniformly to public-facing reception workstations and private office machines with no risk-based differentiation. MedStream's own session timeout is 60 minutes.</t>
  </si>
  <si>
    <t xml:space="preserve">AC-11, AC-12</t>
  </si>
  <si>
    <t xml:space="preserve">T-05</t>
  </si>
  <si>
    <t xml:space="preserve">164.312(a)(2)(iv)</t>
  </si>
  <si>
    <t xml:space="preserve">Encryption and Decryption</t>
  </si>
  <si>
    <t xml:space="preserve">Implement a mechanism to encrypt and decrypt ePHI at rest.</t>
  </si>
  <si>
    <t xml:space="preserve">Verify BitLocker status across the endpoint estate; inspect NAS and fax appliance configuration.</t>
  </si>
  <si>
    <t xml:space="preserve">Coverage is incomplete and unmanaged: 6 of 14 laptops and 6 of 62 workstations are unencrypted, the backup NAS volume is unencrypted, and the fax appliance stores approximately 61,000 unencrypted images. Encryption is applied manually with no verification, no key escrow, and no policy. Unencrypted devices forfeit the breach safe harbor under §164.402.</t>
  </si>
  <si>
    <t xml:space="preserve">SC-28</t>
  </si>
  <si>
    <t xml:space="preserve">T-06</t>
  </si>
  <si>
    <t xml:space="preserve">164.312(b)</t>
  </si>
  <si>
    <t xml:space="preserve">Audit Controls</t>
  </si>
  <si>
    <t xml:space="preserve">Implement hardware, software, and/or procedural mechanisms that record and examine activity in information systems containing or using ePHI.</t>
  </si>
  <si>
    <t xml:space="preserve">Verify logging configuration in MedStream, M365, and Windows; request review evidence.</t>
  </si>
  <si>
    <t xml:space="preserve">The recording half of this standard is largely satisfied — MedStream, M365, and Windows all generate audit records. The examining half is entirely absent. The standard requires mechanisms that record AND examine; recording alone does not satisfy it. M365 unified audit log is at default 90-day retention, below the six-year documentation expectation for records relied upon for compliance.</t>
  </si>
  <si>
    <t xml:space="preserve">AU-2, AU-6, AU-12</t>
  </si>
  <si>
    <t xml:space="preserve">T-07</t>
  </si>
  <si>
    <t xml:space="preserve">164.312(c)(1)</t>
  </si>
  <si>
    <t xml:space="preserve">Integrity</t>
  </si>
  <si>
    <t xml:space="preserve">Implement policies and procedures to protect ePHI from improper alteration or destruction.</t>
  </si>
  <si>
    <t xml:space="preserve">Try to alter a signed clinical note and a finalized order in MedStream. Review Volume Shadow Copy configuration on FS-01 and Wasabi object integrity settings.</t>
  </si>
  <si>
    <t xml:space="preserve">MedStream enforces an immutable clinical audit trail: signed notes cannot be altered, only amended with an attributed addendum, and the original is preserved. FS-01 has Volume Shadow Copy enabled with 14 days of retention, and Wasabi performs object-level integrity verification on the backup copies. Together these protect ePHI from improper alteration or destruction across all three primary stores. This is the strongest control area in the environment.</t>
  </si>
  <si>
    <t xml:space="preserve">SI-7</t>
  </si>
  <si>
    <t xml:space="preserve">T-08</t>
  </si>
  <si>
    <t xml:space="preserve">164.312(c)(2)</t>
  </si>
  <si>
    <t xml:space="preserve">Mechanism to Authenticate ePHI</t>
  </si>
  <si>
    <t xml:space="preserve">Implement electronic mechanisms to corroborate that ePHI has not been altered or destroyed in an unauthorized manner.</t>
  </si>
  <si>
    <t xml:space="preserve">Review MedStream vendor documentation and clinical audit trail sample.</t>
  </si>
  <si>
    <t xml:space="preserve">No independent checksum or file integrity monitoring is deployed. However, MedStream applies cryptographic integrity verification to the clinical record and Wasabi provides object-level integrity checking for backups, covering the two highest-value ePHI stores. This is accepted as an equivalent alternative measure for those systems; the FS-01 gap is tracked under T-07 and remains open.</t>
  </si>
  <si>
    <t xml:space="preserve">SI-7, AU-9</t>
  </si>
  <si>
    <t xml:space="preserve">T-09</t>
  </si>
  <si>
    <t xml:space="preserve">164.312(d)</t>
  </si>
  <si>
    <t xml:space="preserve">Person or Entity Authentication</t>
  </si>
  <si>
    <t xml:space="preserve">Implement procedures to verify that a person or entity seeking access to ePHI is the one claimed.</t>
  </si>
  <si>
    <t xml:space="preserve">Attempt a remote login from an unmanaged device; check whether any second factor is required.</t>
  </si>
  <si>
    <t xml:space="preserve">Single-factor authentication only, for all users, on all systems, including remote access to the primary ePHI repository and including the two domain administrator accounts. Full patient records are reachable from an unmanaged external device with a password alone. This is the single highest-severity technical finding and the one most likely to be the proximate cause of a breach.</t>
  </si>
  <si>
    <t xml:space="preserve">IA-2, IA-2(1)</t>
  </si>
  <si>
    <t xml:space="preserve">T-10</t>
  </si>
  <si>
    <t xml:space="preserve">164.312(e)(1)</t>
  </si>
  <si>
    <t xml:space="preserve">Transmission Security</t>
  </si>
  <si>
    <t xml:space="preserve">Implement technical security measures to guard against unauthorized access to ePHI being transmitted over an electronic communications network.</t>
  </si>
  <si>
    <t xml:space="preserve">Review M365 transport configuration; inspect SFTP and fax transmission paths.</t>
  </si>
  <si>
    <t xml:space="preserve">System-to-system paths are protected (TLS to MedStream and ClearPath, SFTP from Buckeye). Human-to-human paths are not: outbound email carrying ePHI relies on opportunistic TLS with no enforcement, and fax transmits over PSTN unprotected by nature with no compensating control or documented risk decision.</t>
  </si>
  <si>
    <t xml:space="preserve">R-12</t>
  </si>
  <si>
    <t xml:space="preserve">SC-8</t>
  </si>
  <si>
    <t xml:space="preserve">T-11</t>
  </si>
  <si>
    <t xml:space="preserve">164.312(e)(2)(i)</t>
  </si>
  <si>
    <t xml:space="preserve">Integrity Controls</t>
  </si>
  <si>
    <t xml:space="preserve">Implement security measures to ensure that electronically transmitted ePHI is not improperly modified without detection until disposed of.</t>
  </si>
  <si>
    <t xml:space="preserve">Inspect the negotiated cipher suite on each external interface; verify SFTP host key pinning and file checksum validation on the Buckeye feed.</t>
  </si>
  <si>
    <t xml:space="preserve">TLS 1.2 or higher with authenticated cipher suites is negotiated on every system-to-system interface, and the Buckeye SFTP feed performs host key verification and per-file checksum validation on receipt. Transmitted ePHI on these paths cannot be modified without detection. The separate exposure of unencrypted email and fax content is a confidentiality issue assessed under T-10 and T-12, not a transmission integrity failure.</t>
  </si>
  <si>
    <t xml:space="preserve">SC-8(1)</t>
  </si>
  <si>
    <t xml:space="preserve">T-12</t>
  </si>
  <si>
    <t xml:space="preserve">164.312(e)(2)(ii)</t>
  </si>
  <si>
    <t xml:space="preserve">Encryption</t>
  </si>
  <si>
    <t xml:space="preserve">Implement a mechanism to encrypt ePHI whenever deemed appropriate.</t>
  </si>
  <si>
    <t xml:space="preserve">Send a test message to an external address and inspect the transport headers; review available M365 licensing.</t>
  </si>
  <si>
    <t xml:space="preserve">No email encryption mechanism is available to the workforce. Purview Message Encryption is included in the current M365 licence and is not enabled. Referral letters, prior authorisations, and after-hours call notes containing symptoms are routinely sent in plaintext. No determination was documented as to whether encryption is appropriate for these transmissions.</t>
  </si>
  <si>
    <t xml:space="preserve">SC-8, SC-13</t>
  </si>
  <si>
    <t xml:space="preserve">O-01</t>
  </si>
  <si>
    <t xml:space="preserve">Organizational</t>
  </si>
  <si>
    <t xml:space="preserve">164.314(a)(1)</t>
  </si>
  <si>
    <t xml:space="preserve">Business Associate Contracts or Other Arrangements</t>
  </si>
  <si>
    <t xml:space="preserve">Ensure contracts or other arrangements with business associates meet the applicable requirements of this section.</t>
  </si>
  <si>
    <t xml:space="preserve">Assess each BAA against the required elements of §164.314(a)(2)(i).</t>
  </si>
  <si>
    <t xml:space="preserve">Two of five agreements meet the requirements. One is absent, one is materially deficient, and one (MedStream) omits a breach notification timeline, leaving Northwind unable to guarantee its own 60-day notification obligation under §164.410.</t>
  </si>
  <si>
    <t xml:space="preserve">O-02</t>
  </si>
  <si>
    <t xml:space="preserve">164.314(a)(2)(i)</t>
  </si>
  <si>
    <t xml:space="preserve">Business Associate Contracts</t>
  </si>
  <si>
    <t xml:space="preserve">The contract must provide that the business associate will comply with the Security Rule, ensure subcontractor compliance, and report security incidents including breaches of unsecured PHI.</t>
  </si>
  <si>
    <t xml:space="preserve">Element-by-element review of each executed BAA.</t>
  </si>
  <si>
    <t xml:space="preserve">The ClearPath agreement lacks the subcontractor flow-down and incident reporting provisions added by the 2013 Omnibus Rule. The MedStream agreement includes incident reporting but specifies no deadline. The AfterHours relationship has no contract at all.</t>
  </si>
  <si>
    <t xml:space="preserve">SA-9, IR-6</t>
  </si>
  <si>
    <t xml:space="preserve">O-03</t>
  </si>
  <si>
    <t xml:space="preserve">164.314(a)(2)(ii)</t>
  </si>
  <si>
    <t xml:space="preserve">Other Arrangements</t>
  </si>
  <si>
    <t xml:space="preserve">Where both entities are governmental, satisfactory assurances may be met through alternative arrangements.</t>
  </si>
  <si>
    <t xml:space="preserve">Confirm the entity is a private LLC with no governmental business associate relationships.</t>
  </si>
  <si>
    <t xml:space="preserve">Northwind is a privately held LLC and none of its business associates are governmental entities. Rationale documented; specification does not apply.</t>
  </si>
  <si>
    <t xml:space="preserve">O-04</t>
  </si>
  <si>
    <t xml:space="preserve">164.314(a)(2)(iii)</t>
  </si>
  <si>
    <t xml:space="preserve">Business Associate Contracts with Subcontractors</t>
  </si>
  <si>
    <t xml:space="preserve">A business associate must enter into a compliant contract with a subcontractor that creates, receives, maintains, or transmits ePHI on its behalf.</t>
  </si>
  <si>
    <t xml:space="preserve">Confirm entity status as a covered entity, not a business associate.</t>
  </si>
  <si>
    <t xml:space="preserve">This requirement is directed at business associates. Northwind is a covered entity and does not act as a business associate to any other entity. Flow-down to its BAs' subcontractors is assessed under O-02.</t>
  </si>
  <si>
    <t xml:space="preserve">O-05</t>
  </si>
  <si>
    <t xml:space="preserve">164.314(b)(1)</t>
  </si>
  <si>
    <t xml:space="preserve">Requirements for Group Health Plans</t>
  </si>
  <si>
    <t xml:space="preserve">A group health plan must ensure its plan documents require the plan sponsor to reasonably and appropriately safeguard ePHI.</t>
  </si>
  <si>
    <t xml:space="preserve">Confirm with the owner that Northwind sponsors a fully insured group health plan.</t>
  </si>
  <si>
    <t xml:space="preserve">Northwind sponsors a fully insured group health plan and does not create, receive, maintain, or transmit ePHI in its capacity as plan sponsor beyond enrollment and summary information. The exception at §164.314(b)(1) applies. Rationale documented.</t>
  </si>
  <si>
    <t xml:space="preserve">O-06</t>
  </si>
  <si>
    <t xml:space="preserve">164.314(b)(2)</t>
  </si>
  <si>
    <t xml:space="preserve">Group Health Plan Implementation Specifications</t>
  </si>
  <si>
    <t xml:space="preserve">Plan documents must require the sponsor to implement safeguards, ensure agent compliance, report security incidents, and provide for adequate separation.</t>
  </si>
  <si>
    <t xml:space="preserve">Follows from O-05.</t>
  </si>
  <si>
    <t xml:space="preserve">Not applicable for the reason documented at O-05. Should Northwind move to a self-insured plan, this determination must be revisited immediately.</t>
  </si>
  <si>
    <t xml:space="preserve">D-01</t>
  </si>
  <si>
    <t xml:space="preserve">Documentation</t>
  </si>
  <si>
    <t xml:space="preserve">164.316(a)</t>
  </si>
  <si>
    <t xml:space="preserve">Policies and Procedures</t>
  </si>
  <si>
    <t xml:space="preserve">Implement reasonable and appropriate policies and procedures to comply with the Security Rule standards and implementation specifications.</t>
  </si>
  <si>
    <t xml:space="preserve">Inspect the complete policy set (2014 binder) against the Security Rule control set.</t>
  </si>
  <si>
    <t xml:space="preserve">The only policy documentation is a 2014 purchased template with organization-specific fields left blank. It does not reflect the current environment (it predates the EHR, the cloud migration, and remote work), was never approved or adopted, and is unknown to the workforce. Effectively no policies exist.</t>
  </si>
  <si>
    <t xml:space="preserve">PL-1, all -1 controls</t>
  </si>
  <si>
    <t xml:space="preserve">D-02</t>
  </si>
  <si>
    <t xml:space="preserve">164.316(b)(1)</t>
  </si>
  <si>
    <t xml:space="preserve">Maintain the policies and procedures in written form, and if an action, activity, or assessment is required to be documented, maintain a written record of it.</t>
  </si>
  <si>
    <t xml:space="preserve">Request the complete compliance documentation set.</t>
  </si>
  <si>
    <t xml:space="preserve">Almost none of the documentation the Rule requires exists: no risk analysis, no risk management plan, no evaluations, no training records, no incident records, no log review records, no access review records, no contingency test records, and no sanction records.</t>
  </si>
  <si>
    <t xml:space="preserve">PL-1, AU-11</t>
  </si>
  <si>
    <t xml:space="preserve">D-03</t>
  </si>
  <si>
    <t xml:space="preserve">164.316(b)(2)(i)</t>
  </si>
  <si>
    <t xml:space="preserve">Time Limit</t>
  </si>
  <si>
    <t xml:space="preserve">Retain the required documentation for six years from the date of its creation or the date it last was in effect, whichever is later.</t>
  </si>
  <si>
    <t xml:space="preserve">Review retention configuration in M365 and interview the Practice Administrator.</t>
  </si>
  <si>
    <t xml:space="preserve">No retention schedule for compliance documentation. M365 unified audit log retention is at the 90-day default. Conversely, the fax appliance retains images indefinitely with no schedule at all — the same absence of governance produces both under- and over-retention.</t>
  </si>
  <si>
    <t xml:space="preserve">R-09</t>
  </si>
  <si>
    <t xml:space="preserve">AU-11, SI-12</t>
  </si>
  <si>
    <t xml:space="preserve">D-04</t>
  </si>
  <si>
    <t xml:space="preserve">164.316(b)(2)(ii)</t>
  </si>
  <si>
    <t xml:space="preserve">Availability</t>
  </si>
  <si>
    <t xml:space="preserve">Make the documentation available to those persons responsible for implementing the procedures to which the documentation pertains.</t>
  </si>
  <si>
    <t xml:space="preserve">Interview 11 workforce members across all roles and sites.</t>
  </si>
  <si>
    <t xml:space="preserve">No workforce member interviewed could locate any security policy. The 2014 binder sits in the Practice Administrator's office and is not published to staff. Two of eleven were unaware that security policies existed at all.</t>
  </si>
  <si>
    <t xml:space="preserve">PL-4, AT-2</t>
  </si>
  <si>
    <t xml:space="preserve">D-05</t>
  </si>
  <si>
    <t xml:space="preserve">164.316(b)(2)(iii)</t>
  </si>
  <si>
    <t xml:space="preserve">Updates</t>
  </si>
  <si>
    <t xml:space="preserve">Review documentation periodically, and update as needed in response to environmental or operational changes affecting the security of ePHI.</t>
  </si>
  <si>
    <t xml:space="preserve">Review document control metadata on the 2014 binder.</t>
  </si>
  <si>
    <t xml:space="preserve">No review has occurred in twelve years, across an EHR implementation, a cloud email migration, the adoption of remote clinical work, and two clinic openings — each a material environmental change that should have triggered review under this specification.</t>
  </si>
  <si>
    <t xml:space="preserve">PL-1, PM-9</t>
  </si>
  <si>
    <t xml:space="preserve">Scored per NIST SP 800-30 Rev. 1  ·  Risk = Likelihood (1-5) × Impact (1-5)  ·  Yellow cells are inputs; scores and tiers calculate</t>
  </si>
  <si>
    <t xml:space="preserve">CFR Citation(s)</t>
  </si>
  <si>
    <t xml:space="preserve">Affected Asset(s)</t>
  </si>
  <si>
    <t xml:space="preserve">Threat Source</t>
  </si>
  <si>
    <t xml:space="preserve">Threat Event</t>
  </si>
  <si>
    <t xml:space="preserve">Vulnerability</t>
  </si>
  <si>
    <t xml:space="preserve">Existing Controls</t>
  </si>
  <si>
    <t xml:space="preserve">Likelihood</t>
  </si>
  <si>
    <t xml:space="preserve">Impact</t>
  </si>
  <si>
    <t xml:space="preserve">Inherent Score</t>
  </si>
  <si>
    <t xml:space="preserve">Inherent Tier</t>
  </si>
  <si>
    <t xml:space="preserve">Treatment</t>
  </si>
  <si>
    <t xml:space="preserve">Planned Control / Risk Response</t>
  </si>
  <si>
    <t xml:space="preserve">Resid. L</t>
  </si>
  <si>
    <t xml:space="preserve">Resid. I</t>
  </si>
  <si>
    <t xml:space="preserve">Residual Score</t>
  </si>
  <si>
    <t xml:space="preserve">Residual Tier</t>
  </si>
  <si>
    <t xml:space="preserve">Risk Owner</t>
  </si>
  <si>
    <t xml:space="preserve">164.312(d); 164.312(a)(1)</t>
  </si>
  <si>
    <t xml:space="preserve">SYS-01 MedStream EHR</t>
  </si>
  <si>
    <t xml:space="preserve">Adversarial — external criminal</t>
  </si>
  <si>
    <t xml:space="preserve">Credential stuffing or phishing yields provider EHR credentials; attacker logs in remotely and exfiltrates or ransoms patient records.</t>
  </si>
  <si>
    <t xml:space="preserve">Remote EHR access requires username and password only. No MFA, no conditional access, no IP restriction. Nothing blocks a login from an unmanaged personal device on a residential connection.</t>
  </si>
  <si>
    <t xml:space="preserve">Password complexity enforced by vendor (8 char min). Vendor-side account lockout after 10 failed attempts.</t>
  </si>
  <si>
    <t xml:space="preserve">Mitigate</t>
  </si>
  <si>
    <t xml:space="preserve">Enable MedStream native MFA for all 91 accounts; enforce for 100% of remote sessions. Add conditional access requiring compliant device for administrative roles.</t>
  </si>
  <si>
    <t xml:space="preserve">164.308(a)(1)(ii)(A); 164.308(a)(1)(ii)(B); 164.308(a)(8)</t>
  </si>
  <si>
    <t xml:space="preserve">Enterprise-wide</t>
  </si>
  <si>
    <t xml:space="preserve">Non-adversarial — organizational</t>
  </si>
  <si>
    <t xml:space="preserve">Undetected control failures accumulate; a breach occurs and OCR finds no risk analysis was ever conducted, escalating the penalty tier to willful neglect.</t>
  </si>
  <si>
    <t xml:space="preserve">No risk analysis has been performed since the practice was founded. No risk management process, no evaluation cycle, no security committee. The 2014 policy binder contains a vendor template with blanks unfilled.</t>
  </si>
  <si>
    <t xml:space="preserve">None.</t>
  </si>
  <si>
    <t xml:space="preserve">Adopt this assessment as the baseline risk analysis. Establish an annual review cycle with documented management sign-off, and a standing quarterly security review meeting.</t>
  </si>
  <si>
    <t xml:space="preserve">164.308(b)(1); 164.314(a)(1); 164.314(a)(2)(i)</t>
  </si>
  <si>
    <t xml:space="preserve">SYS-02 ClearPath RCM; SYS-06 AfterHours portal</t>
  </si>
  <si>
    <t xml:space="preserve">Adversarial / Non-adversarial — third party</t>
  </si>
  <si>
    <t xml:space="preserve">A business associate suffers a breach or misuses ePHI; Northwind has no contractual right to notification, audit, or remediation, and is independently liable for the absent assurances.</t>
  </si>
  <si>
    <t xml:space="preserve">AfterHours Medical Answering has handled after-hours triage since 2019 with no BAA of any kind. The ClearPath BAA is dated 2016-03-02 and predates the 2013 Omnibus Rule; it contains no breach notification timeline and no subcontractor flow-down.</t>
  </si>
  <si>
    <t xml:space="preserve">MedStream, Microsoft, and Buckeye BAAs are current and adequate.</t>
  </si>
  <si>
    <t xml:space="preserve">Execute a compliant BAA with AfterHours before 2026-05-15 or suspend the service. Re-paper ClearPath on current template. Establish an annual BAA review in the vendor onboarding checklist.</t>
  </si>
  <si>
    <t xml:space="preserve">164.308(a)(3)(ii)(C); 164.308(a)(4)(ii)(C)</t>
  </si>
  <si>
    <t xml:space="preserve">SYS-01, SYS-02, SYS-03, SYS-09</t>
  </si>
  <si>
    <t xml:space="preserve">Adversarial — former workforce member</t>
  </si>
  <si>
    <t xml:space="preserve">A departed employee retains working credentials and accesses patient records for curiosity, personal gain, or retaliation. Insider access is the hardest breach category to detect and the most common in ambulatory settings.</t>
  </si>
  <si>
    <t xml:space="preserve">Termination is handled ad hoc by verbal request from HR to IT. Account review found 7 enabled Active Directory accounts and 4 active MedStream accounts belonging to workforce members separated between 2023 and 2025. One had logged in 11 days after separation.</t>
  </si>
  <si>
    <t xml:space="preserve">Badge/key collection is on the HR exit checklist. No system access step.</t>
  </si>
  <si>
    <t xml:space="preserve">Add a mandatory IT access-revocation step to the HR separation checklist with a 4-hour SLA. Implement quarterly user access reviews signed by each system owner. Disable the 11 identified orphaned accounts immediately.</t>
  </si>
  <si>
    <t xml:space="preserve">IT Lead / HR Manager</t>
  </si>
  <si>
    <t xml:space="preserve">164.308(a)(5)(ii)(B); 164.308(a)(1)(ii)(D); 164.308(a)(7)(i)</t>
  </si>
  <si>
    <t xml:space="preserve">SYS-04 FS-01; SYS-09; SYS-10</t>
  </si>
  <si>
    <t xml:space="preserve">Adversarial — ransomware operator</t>
  </si>
  <si>
    <t xml:space="preserve">Ransomware encrypts the file server and propagates to workstations and the backup NAS, halting clinical operations across all three sites and triggering a presumed breach under §164.402.</t>
  </si>
  <si>
    <t xml:space="preserve">FS-01 has not received operating system patches since August 2025. No EDR — the estate runs Microsoft Defender with default settings and no central console. The backup NAS is reachable over SMB from the same broadcast domain with a shared local credential, so it is encryptable by the same intrusion.</t>
  </si>
  <si>
    <t xml:space="preserve">Perimeter FortiGate with IPS on default profile. Daily Veeam job to NAS with weekly Wasabi copy.</t>
  </si>
  <si>
    <t xml:space="preserve">Deploy managed EDR to all 85 endpoints and both servers. Establish a monthly patch cycle with a documented emergency path. Segment the backup NAS onto an isolated VLAN with unique credentials and enable Wasabi object-lock immutability.</t>
  </si>
  <si>
    <t xml:space="preserve">164.308(a)(8); 164.308(a)(1)(ii)(A)</t>
  </si>
  <si>
    <t xml:space="preserve">Adversarial — external</t>
  </si>
  <si>
    <t xml:space="preserve">An exploitable vulnerability persists undetected in an internet-facing or internal system because no one is looking for it; discovery happens via exploitation rather than testing.</t>
  </si>
  <si>
    <t xml:space="preserve">No vulnerability scanning has ever been run. No penetration test. No external attack surface review. The periodic technical evaluation required by §164.308(a)(8) has never been performed in any form.</t>
  </si>
  <si>
    <t xml:space="preserve">Procure quarterly authenticated vulnerability scanning. Commission an annual external penetration test. Note: the proposed Security Rule update would make both explicitly mandatory (6-month scan, annual pen test).</t>
  </si>
  <si>
    <t xml:space="preserve">164.308(a)(7)(ii)(A); 164.308(a)(7)(ii)(B); 164.308(a)(7)(ii)(D)</t>
  </si>
  <si>
    <t xml:space="preserve">SYS-08 Backup infrastructure</t>
  </si>
  <si>
    <t xml:space="preserve">Non-adversarial — technical failure</t>
  </si>
  <si>
    <t xml:space="preserve">A restore is attempted during a real outage and fails or takes days, extending a recoverable incident into a prolonged availability breach affecting patient care.</t>
  </si>
  <si>
    <t xml:space="preserve">Backups run nightly and report success, but no restore has ever been tested. No documented RTO or RPO. The disaster recovery plan consists of a one-page vendor contact list. Veeam job logs show 14 silent failures on the Wasabi copy job in the past 12 months that no one reviewed.</t>
  </si>
  <si>
    <t xml:space="preserve">Nightly Veeam job to NAS; weekly copy to Wasabi. Job success emails sent to a shared mailbox no one monitors.</t>
  </si>
  <si>
    <t xml:space="preserve">Define RTO (8h) and RPO (24h) with clinical leadership. Perform and document a full restore test of FS-01 and a sample EHR export within 60 days, then semi-annually. Route job alerts to a monitored address.</t>
  </si>
  <si>
    <t xml:space="preserve">164.312(a)(2)(iv); 164.310(d)(1); 164.402 safe harbor</t>
  </si>
  <si>
    <t xml:space="preserve">SYS-10 Workstations; SYS-11 Laptops</t>
  </si>
  <si>
    <t xml:space="preserve">Non-adversarial — loss or theft</t>
  </si>
  <si>
    <t xml:space="preserve">An unencrypted laptop is lost or stolen. Because the device is not encrypted, the safe harbor for unsecured PHI does not apply and the incident is a presumed reportable breach with notification, HHS reporting, and possible media notice.</t>
  </si>
  <si>
    <t xml:space="preserve">6 of 14 laptops and 6 of 62 workstations have no full-disk encryption. These predate the current IT Lead and were never enrolled in management tooling. No inventory of which devices are encrypted existed before this assessment.</t>
  </si>
  <si>
    <t xml:space="preserve">BitLocker enabled on 56 workstations and 8 laptops via a manual, undocumented process.</t>
  </si>
  <si>
    <t xml:space="preserve">Enable BitLocker on all 12 remaining devices with escrowed recovery keys. Enroll the estate in Intune with an encryption compliance policy blocking non-compliant devices from M365. Add encryption verification to the device build checklist.</t>
  </si>
  <si>
    <t xml:space="preserve">164.312(a)(2)(iv); 164.316(b)(2)(i); 164.310(d)(2)(i)</t>
  </si>
  <si>
    <t xml:space="preserve">SYS-07 FaxLogic fax server</t>
  </si>
  <si>
    <t xml:space="preserve">Adversarial — internal or external</t>
  </si>
  <si>
    <t xml:space="preserve">The fax appliance is compromised or its disk is removed, exposing approximately 61,000 fax images containing patient names, diagnoses, and insurance identifiers in a single event.</t>
  </si>
  <si>
    <t xml:space="preserve">Sent and received faxes are retained as unencrypted TIFF images on local appliance disk with no retention limit, going back to 2021. The appliance's web console uses the vendor default administrator password. This system was undocumented and unknown to management before this assessment.</t>
  </si>
  <si>
    <t xml:space="preserve">Appliance sits on the internal network behind the firewall.</t>
  </si>
  <si>
    <t xml:space="preserve">Change the default administrator credential immediately. Define and apply a 90-day retention policy with secure deletion. Enable appliance disk encryption or migrate to an encrypted cloud fax service with a BAA.</t>
  </si>
  <si>
    <t xml:space="preserve">164.310(a)(1); 164.310(a)(2)(ii); 164.310(a)(2)(iii)</t>
  </si>
  <si>
    <t xml:space="preserve">SYS-04, SYS-08, SYS-09, SYS-13 and all facilities</t>
  </si>
  <si>
    <t xml:space="preserve">Adversarial — unauthorized physical access</t>
  </si>
  <si>
    <t xml:space="preserve">An unauthorized person reaches server or network equipment, or an unattended workstation, and removes media or establishes persistent access.</t>
  </si>
  <si>
    <t xml:space="preserve">The Dublin IT closet housing FS-01 and the backup NAS is propped open during business hours for ventilation. Staff-door keypad codes at all three sites have not changed since 2019 and are known to former employees. No visitor log at any site. The Westerville cabinet key is kept in an unlocked front-desk drawer.</t>
  </si>
  <si>
    <t xml:space="preserve">Exterior doors locked outside operating hours. Alarm systems at all three sites.</t>
  </si>
  <si>
    <t xml:space="preserve">Install a ventilation solution and keep the Dublin closet locked. Rotate all keypad codes and establish a rotation on separation and semi-annually. Implement a visitor log and escort requirement for non-clinical areas.</t>
  </si>
  <si>
    <t xml:space="preserve">164.308(a)(1)(ii)(D); 164.312(b)</t>
  </si>
  <si>
    <t xml:space="preserve">SYS-01, SYS-02, SYS-03, SYS-04</t>
  </si>
  <si>
    <t xml:space="preserve">Adversarial — insider snooping</t>
  </si>
  <si>
    <t xml:space="preserve">A workforce member browses the records of a neighbour, family member, colleague, or local public figure. Without log review this is invisible; it is also the most common HIPAA complaint OCR receives about practices of this size.</t>
  </si>
  <si>
    <t xml:space="preserve">MedStream generates access audit logs and has a break-the-glass report available, but no one at Northwind has ever opened it. No log review procedure, no defined review frequency, no record of any review. Windows and M365 audit logs are retained at default and never examined.</t>
  </si>
  <si>
    <t xml:space="preserve">Logging is enabled and retained by vendors. No review occurs.</t>
  </si>
  <si>
    <t xml:space="preserve">Define a monthly log review procedure: same-surname access report, VIP/employee-record access report, and after-hours access report from MedStream, reviewed and signed by the Security Official. Enable M365 unified audit log retention.</t>
  </si>
  <si>
    <t xml:space="preserve">164.312(e)(1); 164.312(e)(2)(ii)</t>
  </si>
  <si>
    <t xml:space="preserve">SYS-03 Microsoft 365; SYS-06 AfterHours portal</t>
  </si>
  <si>
    <t xml:space="preserve">Non-adversarial — interception / misdirection</t>
  </si>
  <si>
    <t xml:space="preserve">ePHI sent by email traverses the internet unencrypted or is misaddressed, disclosing patient information to an unintended recipient.</t>
  </si>
  <si>
    <t xml:space="preserve">Outbound email uses opportunistic TLS with no enforcement and no encryption policy. Referral letters, prior-authorisation documents, and after-hours call notes containing symptoms and contact details are routinely sent in the plaintext message body. No patient portal is in use for most communications. No data loss prevention rules exist.</t>
  </si>
  <si>
    <t xml:space="preserve">TLS is used when the receiving server supports it. Microsoft BAA in place.</t>
  </si>
  <si>
    <t xml:space="preserve">Enable Microsoft Purview Message Encryption with a transport rule triggering on PHI-indicative content. Configure DLP policies for the US HIPAA template in audit mode, then enforce. Require the AfterHours portal to deliver via secure link rather than email body.</t>
  </si>
  <si>
    <t xml:space="preserve">164.308(a)(5)(i); 164.308(a)(5)(ii)(A); 164.308(a)(5)(ii)(C)</t>
  </si>
  <si>
    <t xml:space="preserve">Workforce (85 members)</t>
  </si>
  <si>
    <t xml:space="preserve">Adversarial — social engineering</t>
  </si>
  <si>
    <t xml:space="preserve">A workforce member opens a phishing email and enters credentials or executes a payload, providing the initial access for R-01 or R-05. Phishing is the leading initial vector in reported healthcare breaches.</t>
  </si>
  <si>
    <t xml:space="preserve">The last documented security awareness training was delivered in 2019 at onboarding for staff hired that year. No annual refresher, no training for the 34 workforce members hired since, no phishing simulation, no security reminders of any kind. Interviews found 7 of 11 staff could not describe how to report a suspected security incident.</t>
  </si>
  <si>
    <t xml:space="preserve">A HIPAA privacy overview is included in new-hire orientation. No security content.</t>
  </si>
  <si>
    <t xml:space="preserve">Deploy an annual role-based security awareness program with tracked completion for 100% of the workforce. Run monthly phishing simulations with targeted follow-up training. Issue quarterly security reminders. Document completion as evidence.</t>
  </si>
  <si>
    <t xml:space="preserve">Practice Administrator / HR Manager</t>
  </si>
  <si>
    <t xml:space="preserve">164.310(b); 164.310(c)</t>
  </si>
  <si>
    <t xml:space="preserve">SYS-10 Workstations; SYS-14 Kiosks</t>
  </si>
  <si>
    <t xml:space="preserve">Non-adversarial — incidental disclosure</t>
  </si>
  <si>
    <t xml:space="preserve">Patient names and appointment reasons on reception screens are read by other patients in the waiting area, producing impermissible incidental disclosures and patient complaints.</t>
  </si>
  <si>
    <t xml:space="preserve">Reception workstations at Dublin and Grove City face the waiting area with no privacy filters. Patient names are legible from the third waiting-room chair. Automatic screen lock is set to 30 minutes across the estate; clinical workstations sit unlocked and unattended in exam rooms.</t>
  </si>
  <si>
    <t xml:space="preserve">Workstations are password protected at login.</t>
  </si>
  <si>
    <t xml:space="preserve">Install privacy filters on all public-facing screens and reposition the two reception monitors. Reduce automatic logoff to 10 minutes on clinical workstations and 5 minutes on public-facing ones. Add clear-screen expectations to the Workstation Use Policy.</t>
  </si>
  <si>
    <t xml:space="preserve">R-15</t>
  </si>
  <si>
    <t xml:space="preserve">164.312(d); 164.312(e)(1); 164.308(a)(4)(ii)(C)</t>
  </si>
  <si>
    <t xml:space="preserve">SYS-05 Buckeye Imaging SFTP feed</t>
  </si>
  <si>
    <t xml:space="preserve">Adversarial — credential compromise</t>
  </si>
  <si>
    <t xml:space="preserve">The SFTP key pair used for the imaging results feed is compromised or held by a departed vendor employee, allowing interception or injection of radiology results.</t>
  </si>
  <si>
    <t xml:space="preserve">The SFTP key pair was generated at onboarding in September 2022 and has never been rotated. No inventory of who holds the private key on the Buckeye side. Inbound files land in an unencrypted directory on FS-01.</t>
  </si>
  <si>
    <t xml:space="preserve">SFTP provides encryption in transit. Buckeye holds a current BAA and SOC 2 Type II.</t>
  </si>
  <si>
    <t xml:space="preserve">Rotate the key pair and establish annual rotation. Request Buckeye's key custody documentation. Move the landing directory to an encrypted volume with restricted ACLs.</t>
  </si>
  <si>
    <t xml:space="preserve">Note</t>
  </si>
  <si>
    <t xml:space="preserve">Likelihood and Impact scales are defined in scenario.md. Impact is the highest of three axes: patient safety, regulatory exposure, and operations. Threat sources come from NIST SP 800-30r1 Appendix D, narrowed to the ones that actually show up in HHS breach reports for small medical practices.</t>
  </si>
  <si>
    <t xml:space="preserve">Plan of Action and Milestones</t>
  </si>
  <si>
    <t xml:space="preserve">Remediation tracker  ·  20 items  ·  Statuses show a plan part-way through execution</t>
  </si>
  <si>
    <t xml:space="preserve">POA&amp;M ID</t>
  </si>
  <si>
    <t xml:space="preserve">Priority</t>
  </si>
  <si>
    <t xml:space="preserve">Remediation Action</t>
  </si>
  <si>
    <t xml:space="preserve">Owner</t>
  </si>
  <si>
    <t xml:space="preserve">Resources / Estimated Cost</t>
  </si>
  <si>
    <t xml:space="preserve">Start Date</t>
  </si>
  <si>
    <t xml:space="preserve">Target Date</t>
  </si>
  <si>
    <t xml:space="preserve">Status</t>
  </si>
  <si>
    <t xml:space="preserve">% Complete</t>
  </si>
  <si>
    <t xml:space="preserve">Milestones</t>
  </si>
  <si>
    <t xml:space="preserve">Days to Target</t>
  </si>
  <si>
    <t xml:space="preserve">PM-01</t>
  </si>
  <si>
    <t xml:space="preserve">1 - Immediate</t>
  </si>
  <si>
    <t xml:space="preserve">Enable MedStream native MFA for all 91 user accounts; enforce on 100% of remote sessions; require compliant device via conditional access for the 4 administrative roles.</t>
  </si>
  <si>
    <t xml:space="preserve">$0 licence (included) + ~24h internal effort</t>
  </si>
  <si>
    <t xml:space="preserve">2026-04-06</t>
  </si>
  <si>
    <t xml:space="preserve">2026-05-04</t>
  </si>
  <si>
    <t xml:space="preserve">In Progress</t>
  </si>
  <si>
    <t xml:space="preserve">Pilot with 8 providers (04-13) | Full rollout (04-27) | Enforcement mode + exception review (05-04)</t>
  </si>
  <si>
    <t xml:space="preserve">PM-02</t>
  </si>
  <si>
    <t xml:space="preserve">Formally adopt this risk analysis as the baseline. Establish a documented annual review cycle and a standing quarterly security review meeting with owner sign-off.</t>
  </si>
  <si>
    <t xml:space="preserve">~16h internal effort per year</t>
  </si>
  <si>
    <t xml:space="preserve">2026-04-30</t>
  </si>
  <si>
    <t xml:space="preserve">Management review meeting (04-15) | Signed adoption memo (04-22) | Q2 meeting scheduled (04-30)</t>
  </si>
  <si>
    <t xml:space="preserve">PM-03</t>
  </si>
  <si>
    <t xml:space="preserve">Deploy managed EDR to 85 endpoints and 2 servers. Establish a monthly patch cycle with a documented emergency path. Bring FS-01 current.</t>
  </si>
  <si>
    <t xml:space="preserve">~$4,300/yr licensing + $2,000 deployment</t>
  </si>
  <si>
    <t xml:space="preserve">2026-04-13</t>
  </si>
  <si>
    <t xml:space="preserve">2026-06-15</t>
  </si>
  <si>
    <t xml:space="preserve">Vendor selected (04-20) | FS-01 patched to current (04-24) | EDR on all servers (05-11) | Full endpoint coverage (06-15)</t>
  </si>
  <si>
    <t xml:space="preserve">PM-04</t>
  </si>
  <si>
    <t xml:space="preserve">2 - High</t>
  </si>
  <si>
    <t xml:space="preserve">Segment the backup NAS onto an isolated VLAN with a unique credential; enable Wasabi object-lock immutability with a 35-day retention lock.</t>
  </si>
  <si>
    <t xml:space="preserve">$0 (existing licensing) + ~12h</t>
  </si>
  <si>
    <t xml:space="preserve">2026-06-30</t>
  </si>
  <si>
    <t xml:space="preserve">Not Started</t>
  </si>
  <si>
    <t xml:space="preserve">VLAN designed (05-11) | NAS migrated and credential rotated (06-08) | Immutability enabled and verified (06-30)</t>
  </si>
  <si>
    <t xml:space="preserve">PM-05</t>
  </si>
  <si>
    <t xml:space="preserve">Execute a compliant BAA with AfterHours Medical Answering or suspend the service. Re-paper the ClearPath BAA on the current template. Obtain a breach notification timeline addendum from MedStream.</t>
  </si>
  <si>
    <t xml:space="preserve">~$1,800 legal review</t>
  </si>
  <si>
    <t xml:space="preserve">2026-05-15</t>
  </si>
  <si>
    <t xml:space="preserve">Template obtained from counsel (04-17) | AfterHours executed (05-01) | ClearPath executed (05-15)</t>
  </si>
  <si>
    <t xml:space="preserve">PM-06</t>
  </si>
  <si>
    <t xml:space="preserve">Disable the 11 identified orphaned accounts. Add a mandatory IT access-revocation step to the HR separation checklist with a 4-hour SLA.</t>
  </si>
  <si>
    <t xml:space="preserve">~8h internal effort</t>
  </si>
  <si>
    <t xml:space="preserve">2026-04-24</t>
  </si>
  <si>
    <t xml:space="preserve">Complete</t>
  </si>
  <si>
    <t xml:space="preserve">11 accounts disabled (04-08) | Revised checklist approved (04-17) | HR trained on new step (04-24)</t>
  </si>
  <si>
    <t xml:space="preserve">PM-07</t>
  </si>
  <si>
    <t xml:space="preserve">Implement quarterly user access reviews across MedStream, ClearPath, M365, and AD, with attestation signed by each system owner. Remediate the 4 sampled over-provisioned accounts.</t>
  </si>
  <si>
    <t xml:space="preserve">~10h per quarter</t>
  </si>
  <si>
    <t xml:space="preserve">2026-07-31</t>
  </si>
  <si>
    <t xml:space="preserve">Review procedure documented (05-22) | Extract tooling built (06-15) | First full review completed and signed (07-31)</t>
  </si>
  <si>
    <t xml:space="preserve">PM-08</t>
  </si>
  <si>
    <t xml:space="preserve">Deploy an annual role-based security awareness program with tracked completion for 100% of the workforce; begin monthly phishing simulations; issue quarterly security reminders.</t>
  </si>
  <si>
    <t xml:space="preserve">Practice Administrator / HR</t>
  </si>
  <si>
    <t xml:space="preserve">~$2,400/yr platform</t>
  </si>
  <si>
    <t xml:space="preserve">2026-04-20</t>
  </si>
  <si>
    <t xml:space="preserve">2026-07-15</t>
  </si>
  <si>
    <t xml:space="preserve">Platform procured (05-01) | Baseline phishing simulation (05-15) | 100% training completion (07-01) | Reminder calendar published (07-15)</t>
  </si>
  <si>
    <t xml:space="preserve">PM-09</t>
  </si>
  <si>
    <t xml:space="preserve">Define RTO (8h) and RPO (24h) with clinical leadership. Perform and document a full restore test of FS-01 and a sample EHR export. Route backup job alerts to a monitored address.</t>
  </si>
  <si>
    <t xml:space="preserve">~20h internal effort</t>
  </si>
  <si>
    <t xml:space="preserve">2026-06-19</t>
  </si>
  <si>
    <t xml:space="preserve">RTO/RPO agreed with clinical leadership (05-08) | Alerting rerouted (04-30) | First documented restore test (06-19)</t>
  </si>
  <si>
    <t xml:space="preserve">PM-10</t>
  </si>
  <si>
    <t xml:space="preserve">Enable BitLocker with escrowed recovery keys on the 12 unencrypted devices. Enrol the estate in Intune with an encryption compliance policy blocking non-compliant devices from M365.</t>
  </si>
  <si>
    <t xml:space="preserve">$0 (existing licensing) + ~30h</t>
  </si>
  <si>
    <t xml:space="preserve">2026-04-27</t>
  </si>
  <si>
    <t xml:space="preserve">2026-07-06</t>
  </si>
  <si>
    <t xml:space="preserve">Recovery key escrow configured (05-11) | 12 devices encrypted (06-05) | Intune compliance policy enforced (07-06)</t>
  </si>
  <si>
    <t xml:space="preserve">PM-11</t>
  </si>
  <si>
    <t xml:space="preserve">Establish a documented monthly log review: same-surname access, employee/VIP record access, and after-hours access reports from MedStream, reviewed and signed by the Security Official. Extend M365 audit retention.</t>
  </si>
  <si>
    <t xml:space="preserve">~4h per month</t>
  </si>
  <si>
    <t xml:space="preserve">Report set defined with MedStream (05-18) | Procedure documented (06-05) | First signed monthly review (06-30)</t>
  </si>
  <si>
    <t xml:space="preserve">PM-12</t>
  </si>
  <si>
    <t xml:space="preserve">3 - Moderate</t>
  </si>
  <si>
    <t xml:space="preserve">Enable Purview Message Encryption with a transport rule on PHI-indicative content. Deploy the US HIPAA DLP template in audit mode, then enforce. Require AfterHours to deliver via secure link.</t>
  </si>
  <si>
    <t xml:space="preserve">$0 (included in current licence) + ~16h</t>
  </si>
  <si>
    <t xml:space="preserve">2026-06-01</t>
  </si>
  <si>
    <t xml:space="preserve">2026-08-31</t>
  </si>
  <si>
    <t xml:space="preserve">Encryption rule piloted (06-22) | DLP in audit mode (07-20) | DLP enforced + staff guidance issued (08-31)</t>
  </si>
  <si>
    <t xml:space="preserve">PM-13</t>
  </si>
  <si>
    <t xml:space="preserve">Change the fax appliance default administrator credential immediately. Define and apply a 90-day retention policy with secure deletion. Encrypt the appliance disk or migrate to an encrypted cloud fax service under BAA.</t>
  </si>
  <si>
    <t xml:space="preserve">~$1,100/yr if migrated</t>
  </si>
  <si>
    <t xml:space="preserve">2026-08-14</t>
  </si>
  <si>
    <t xml:space="preserve">Default credential changed (04-14) | Retention policy approved (05-29) | Historical images purged (07-10) | Encryption or migration complete (08-14)</t>
  </si>
  <si>
    <t xml:space="preserve">PM-14</t>
  </si>
  <si>
    <t xml:space="preserve">Install ventilation and keep the Dublin IT closet locked. Rotate all keypad codes and establish rotation on separation and semi-annually. Implement visitor logs and an escort requirement at all three sites.</t>
  </si>
  <si>
    <t xml:space="preserve">~$2,800 (ventilation + hardware)</t>
  </si>
  <si>
    <t xml:space="preserve">2026-05-11</t>
  </si>
  <si>
    <t xml:space="preserve">Ventilation installed (06-26) | All keypad codes rotated (05-29) | Visitor logs live at 3 sites (07-17) | Escort policy issued (08-31)</t>
  </si>
  <si>
    <t xml:space="preserve">PM-15</t>
  </si>
  <si>
    <t xml:space="preserve">Install privacy filters on all public-facing screens and reposition the two reception monitors. Reduce automatic logoff to 10 minutes clinical / 5 minutes public-facing. Issue a Workstation Use Policy.</t>
  </si>
  <si>
    <t xml:space="preserve">Practice Administrator / IT Lead</t>
  </si>
  <si>
    <t xml:space="preserve">~$900 hardware</t>
  </si>
  <si>
    <t xml:space="preserve">Filters ordered (05-04) | Monitors repositioned (05-15) | Logoff timers reconfigured (06-05) | Policy issued (06-30)</t>
  </si>
  <si>
    <t xml:space="preserve">PM-16</t>
  </si>
  <si>
    <t xml:space="preserve">Procure quarterly authenticated vulnerability scanning and commission an annual external penetration test, establishing the periodic technical evaluation required by §164.308(a)(8).</t>
  </si>
  <si>
    <t xml:space="preserve">~$7,500/yr scanning + ~$12,000 annual pen test</t>
  </si>
  <si>
    <t xml:space="preserve">2026-07-01</t>
  </si>
  <si>
    <t xml:space="preserve">2026-11-30</t>
  </si>
  <si>
    <t xml:space="preserve">Scanning vendor selected (07-31) | First authenticated scan (09-15) | Pen test scoped (10-15) | Pen test report + remediation plan (11-30)</t>
  </si>
  <si>
    <t xml:space="preserve">PM-17</t>
  </si>
  <si>
    <t xml:space="preserve">4 - Low</t>
  </si>
  <si>
    <t xml:space="preserve">Rotate the Buckeye Imaging SFTP key pair and establish annual rotation. Request key custody documentation. Move the landing directory to an encrypted volume with restricted ACLs.</t>
  </si>
  <si>
    <t xml:space="preserve">~6h internal effort</t>
  </si>
  <si>
    <t xml:space="preserve">Rotation coordinated with Buckeye (06-30) | New keys live (07-15) | Landing directory encrypted and ACLs applied (07-31)</t>
  </si>
  <si>
    <t xml:space="preserve">PM-18</t>
  </si>
  <si>
    <t xml:space="preserve">Draft, approve, and publish a Security Rule policy set replacing the 2014 binder: Information Security Policy, Access Control Policy, Incident Response Plan, Workstation Use, Contingency Plan, Sanction Policy. Establish annual review.</t>
  </si>
  <si>
    <t xml:space="preserve">~60h internal effort</t>
  </si>
  <si>
    <t xml:space="preserve">2026-09-30</t>
  </si>
  <si>
    <t xml:space="preserve">First three policies drafted (05-29) | Owner approval (06-30) | Remaining three drafted (08-14) | Published to staff + attestation (09-30)</t>
  </si>
  <si>
    <t xml:space="preserve">PM-19</t>
  </si>
  <si>
    <t xml:space="preserve">Sanitize and dispose of the 11 stored decommissioned workstations and 3 hard drives per NIST SP 800-88; obtain certificates of destruction. Establish a media disposal and re-use procedure.</t>
  </si>
  <si>
    <t xml:space="preserve">~$650 vendor destruction</t>
  </si>
  <si>
    <t xml:space="preserve">Vendor engaged (06-05) | Media collected and destroyed (06-30) | Certificates filed + procedure issued (07-15)</t>
  </si>
  <si>
    <t xml:space="preserve">PM-20</t>
  </si>
  <si>
    <t xml:space="preserve">Formally adopt the asset and ePHI inventory produced by this engagement; assign custodians; establish an annual review and a change-triggered update process.</t>
  </si>
  <si>
    <t xml:space="preserve">IT Lead / Practice Administrator</t>
  </si>
  <si>
    <t xml:space="preserve">~8h initial + 4h annually</t>
  </si>
  <si>
    <t xml:space="preserve">Inventory validated with system owners (05-08) | Custodians assigned (05-22) | Review cadence documented (06-15)</t>
  </si>
  <si>
    <t xml:space="preserve">Summary</t>
  </si>
  <si>
    <t xml:space="preserve">Average completion across all POA&amp;M items</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</si>
</sst>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44546A"/>
      <name val="Arial"/>
      <family val="0"/>
      <charset val="1"/>
    </font>
    <font>
      <b val="true"/>
      <sz val="10"/>
      <name val="Arial"/>
      <family val="0"/>
      <charset val="1"/>
    </font>
    <font>
      <sz val="10"/>
      <name val="Arial"/>
      <family val="0"/>
      <charset val="1"/>
    </font>
    <font>
      <b val="true"/>
      <sz val="11"/>
      <color rgb="FF1F3864"/>
      <name val="Arial"/>
      <family val="0"/>
      <charset val="1"/>
    </font>
    <font>
      <b val="true"/>
      <sz val="10"/>
      <color rgb="FFFFFFFF"/>
      <name val="Arial"/>
      <family val="0"/>
      <charset val="1"/>
    </font>
    <font>
      <b val="true"/>
      <sz val="11"/>
      <name val="Arial"/>
      <family val="0"/>
      <charset val="1"/>
    </font>
  </fonts>
  <fills count="9">
    <fill>
      <patternFill patternType="none"/>
    </fill>
    <fill>
      <patternFill patternType="gray125"/>
    </fill>
    <fill>
      <patternFill patternType="solid">
        <fgColor rgb="FFF2F2F2"/>
        <bgColor rgb="FFFFFFFF"/>
      </patternFill>
    </fill>
    <fill>
      <patternFill patternType="solid">
        <fgColor rgb="FF1F3864"/>
        <bgColor rgb="FF333333"/>
      </patternFill>
    </fill>
    <fill>
      <patternFill patternType="solid">
        <fgColor rgb="FFC00000"/>
        <bgColor rgb="FF800000"/>
      </patternFill>
    </fill>
    <fill>
      <patternFill patternType="solid">
        <fgColor rgb="FFED7D31"/>
        <bgColor rgb="FFFF8080"/>
      </patternFill>
    </fill>
    <fill>
      <patternFill patternType="solid">
        <fgColor rgb="FFFFD966"/>
        <bgColor rgb="FFFFFF99"/>
      </patternFill>
    </fill>
    <fill>
      <patternFill patternType="solid">
        <fgColor rgb="FFA9D08E"/>
        <bgColor rgb="FFBFBFBF"/>
      </patternFill>
    </fill>
    <fill>
      <patternFill patternType="solid">
        <fgColor rgb="FFFFF2CC"/>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5" fontId="7" fillId="0" borderId="2"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tru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6" fontId="6" fillId="8"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ED7D31"/>
          <bgColor rgb="FF000000"/>
        </patternFill>
      </fill>
    </dxf>
    <dxf>
      <fill>
        <patternFill patternType="solid">
          <fgColor rgb="FFFFD966"/>
          <bgColor rgb="FF000000"/>
        </patternFill>
      </fill>
    </dxf>
    <dxf>
      <fill>
        <patternFill patternType="solid">
          <fgColor rgb="FF000000"/>
          <bgColor rgb="FF000000"/>
        </patternFill>
      </fill>
    </dxf>
    <dxf>
      <font>
        <name val="Arial"/>
        <charset val="1"/>
        <family val="0"/>
        <b val="1"/>
        <color rgb="FFFFFFFF"/>
        <sz val="10"/>
      </font>
      <fill>
        <patternFill>
          <bgColor rgb="FFC00000"/>
        </patternFill>
      </fill>
    </dxf>
    <dxf>
      <font>
        <name val="Arial"/>
        <charset val="1"/>
        <family val="0"/>
        <b val="1"/>
        <color rgb="FFFFFFFF"/>
        <sz val="10"/>
      </font>
      <fill>
        <patternFill>
          <bgColor rgb="FFED7D31"/>
        </patternFill>
      </fill>
    </dxf>
    <dxf>
      <font>
        <name val="Arial"/>
        <charset val="1"/>
        <family val="0"/>
        <b val="1"/>
        <color rgb="FF000000"/>
        <sz val="10"/>
      </font>
      <fill>
        <patternFill>
          <bgColor rgb="FFFFD966"/>
        </patternFill>
      </fill>
    </dxf>
    <dxf>
      <fill>
        <patternFill patternType="solid">
          <fgColor rgb="FFA9D08E"/>
          <bgColor rgb="FF000000"/>
        </patternFill>
      </fill>
    </dxf>
    <dxf>
      <fill>
        <patternFill patternType="solid">
          <fgColor rgb="FFBDD7EE"/>
          <bgColor rgb="FF000000"/>
        </patternFill>
      </fill>
    </dxf>
    <dxf>
      <fill>
        <patternFill patternType="solid">
          <fgColor rgb="FFD9D9D9"/>
          <bgColor rgb="FF000000"/>
        </patternFill>
      </fill>
    </dxf>
    <dxf>
      <font>
        <name val="Arial"/>
        <charset val="1"/>
        <family val="0"/>
        <b val="1"/>
        <color rgb="FF000000"/>
        <sz val="10"/>
      </font>
      <fill>
        <patternFill>
          <bgColor rgb="FFA9D08E"/>
        </patternFill>
      </fill>
    </dxf>
    <dxf>
      <font>
        <name val="Arial"/>
        <charset val="1"/>
        <family val="0"/>
        <b val="1"/>
        <color rgb="FF000000"/>
        <sz val="10"/>
      </font>
      <fill>
        <patternFill>
          <bgColor rgb="FFBDD7EE"/>
        </patternFill>
      </fill>
    </dxf>
    <dxf>
      <font>
        <name val="Arial"/>
        <charset val="1"/>
        <family val="0"/>
        <b val="1"/>
        <color rgb="FF000000"/>
        <sz val="10"/>
      </font>
      <fill>
        <patternFill>
          <bgColor rgb="FFD9D9D9"/>
        </patternFill>
      </fill>
    </dxf>
    <dxf>
      <fill>
        <patternFill patternType="solid">
          <fgColor rgb="FFFFF2CC"/>
          <bgColor rgb="FF000000"/>
        </patternFill>
      </fill>
    </dxf>
    <dxf>
      <font>
        <name val="Arial"/>
        <charset val="1"/>
        <family val="0"/>
        <b val="1"/>
        <color rgb="FFFFFFFF"/>
        <sz val="11"/>
      </font>
      <fill>
        <patternFill>
          <bgColor rgb="FFC00000"/>
        </patternFill>
      </fill>
    </dxf>
    <dxf>
      <font>
        <name val="Arial"/>
        <charset val="1"/>
        <family val="0"/>
        <b val="1"/>
        <color rgb="FFFFFFFF"/>
        <sz val="11"/>
      </font>
      <fill>
        <patternFill>
          <bgColor rgb="FFED7D31"/>
        </patternFill>
      </fill>
    </dxf>
    <dxf>
      <font>
        <name val="Arial"/>
        <charset val="1"/>
        <family val="0"/>
        <b val="1"/>
        <sz val="11"/>
      </font>
      <fill>
        <patternFill>
          <bgColor rgb="FFFFD966"/>
        </patternFill>
      </fill>
    </dxf>
    <dxf>
      <font>
        <name val="Arial"/>
        <charset val="1"/>
        <family val="0"/>
        <b val="1"/>
        <sz val="11"/>
      </font>
      <fill>
        <patternFill>
          <bgColor rgb="FFA9D08E"/>
        </patternFill>
      </fill>
    </dxf>
    <dxf>
      <fill>
        <patternFill patternType="solid">
          <fgColor rgb="FFF4B6B6"/>
          <bgColor rgb="FF000000"/>
        </patternFill>
      </fill>
    </dxf>
    <dxf>
      <font>
        <name val="Arial"/>
        <charset val="1"/>
        <family val="0"/>
        <b val="1"/>
        <color rgb="FF000000"/>
        <sz val="10"/>
      </font>
      <fill>
        <patternFill>
          <bgColor rgb="FFF4B6B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D9D9"/>
      <rgbColor rgb="FFFFFF99"/>
      <rgbColor rgb="FFA9D08E"/>
      <rgbColor rgb="FFF4B6B6"/>
      <rgbColor rgb="FFCC99FF"/>
      <rgbColor rgb="FFFFD966"/>
      <rgbColor rgb="FF3366FF"/>
      <rgbColor rgb="FF33CCCC"/>
      <rgbColor rgb="FF99CC00"/>
      <rgbColor rgb="FFFFCC00"/>
      <rgbColor rgb="FFFF9900"/>
      <rgbColor rgb="FFED7D31"/>
      <rgbColor rgb="FF44546A"/>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30"/>
    <col collapsed="false" customWidth="true" hidden="false" outlineLevel="0" max="4" min="4" style="0" width="22"/>
    <col collapsed="false" customWidth="true" hidden="false" outlineLevel="0" max="6" min="5" style="0" width="12"/>
  </cols>
  <sheetData>
    <row r="1" customFormat="false" ht="21.75" hidden="false" customHeight="true" outlineLevel="0" collapsed="false">
      <c r="A1" s="1" t="s">
        <v>0</v>
      </c>
      <c r="B1" s="1"/>
      <c r="C1" s="1"/>
      <c r="D1" s="1"/>
      <c r="E1" s="1"/>
      <c r="F1" s="1"/>
    </row>
    <row r="2" customFormat="false" ht="15.75" hidden="false" customHeight="true" outlineLevel="0" collapsed="false">
      <c r="A2" s="2" t="s">
        <v>1</v>
      </c>
      <c r="B2" s="2"/>
      <c r="C2" s="2"/>
      <c r="D2" s="2"/>
      <c r="E2" s="2"/>
      <c r="F2" s="2"/>
    </row>
    <row r="4" customFormat="false" ht="15" hidden="false" customHeight="true" outlineLevel="0" collapsed="false">
      <c r="A4" s="3" t="s">
        <v>2</v>
      </c>
      <c r="B4" s="3"/>
      <c r="C4" s="3"/>
      <c r="D4" s="3"/>
      <c r="E4" s="3"/>
      <c r="F4" s="3"/>
    </row>
    <row r="5" customFormat="false" ht="27.75" hidden="false" customHeight="true" outlineLevel="0" collapsed="false">
      <c r="A5" s="4" t="s">
        <v>3</v>
      </c>
      <c r="B5" s="4"/>
      <c r="C5" s="4"/>
      <c r="D5" s="4"/>
      <c r="E5" s="4"/>
      <c r="F5" s="4"/>
    </row>
    <row r="7" customFormat="false" ht="15" hidden="false" customHeight="false" outlineLevel="0" collapsed="false">
      <c r="A7" s="5" t="s">
        <v>4</v>
      </c>
    </row>
    <row r="8" customFormat="false" ht="25.5" hidden="false" customHeight="true" outlineLevel="0" collapsed="false">
      <c r="A8" s="6" t="s">
        <v>5</v>
      </c>
      <c r="B8" s="7" t="s">
        <v>6</v>
      </c>
      <c r="C8" s="7"/>
      <c r="D8" s="7"/>
      <c r="E8" s="7"/>
      <c r="F8" s="7"/>
    </row>
    <row r="9" customFormat="false" ht="25.5" hidden="false" customHeight="true" outlineLevel="0" collapsed="false">
      <c r="A9" s="6" t="s">
        <v>7</v>
      </c>
      <c r="B9" s="7" t="s">
        <v>8</v>
      </c>
      <c r="C9" s="7"/>
      <c r="D9" s="7"/>
      <c r="E9" s="7"/>
      <c r="F9" s="7"/>
    </row>
    <row r="10" customFormat="false" ht="25.5" hidden="false" customHeight="true" outlineLevel="0" collapsed="false">
      <c r="A10" s="6" t="s">
        <v>9</v>
      </c>
      <c r="B10" s="7" t="s">
        <v>10</v>
      </c>
      <c r="C10" s="7"/>
      <c r="D10" s="7"/>
      <c r="E10" s="7"/>
      <c r="F10" s="7"/>
    </row>
    <row r="11" customFormat="false" ht="25.5" hidden="false" customHeight="true" outlineLevel="0" collapsed="false">
      <c r="A11" s="6" t="s">
        <v>11</v>
      </c>
      <c r="B11" s="7" t="s">
        <v>12</v>
      </c>
      <c r="C11" s="7"/>
      <c r="D11" s="7"/>
      <c r="E11" s="7"/>
      <c r="F11" s="7"/>
    </row>
    <row r="13" customFormat="false" ht="52.2" hidden="false" customHeight="false" outlineLevel="0" collapsed="false">
      <c r="A13" s="5" t="s">
        <v>13</v>
      </c>
    </row>
    <row r="14" customFormat="false" ht="15" hidden="false" customHeight="false" outlineLevel="0" collapsed="false">
      <c r="A14" s="8" t="s">
        <v>14</v>
      </c>
      <c r="B14" s="8" t="s">
        <v>15</v>
      </c>
      <c r="C14" s="8" t="s">
        <v>16</v>
      </c>
    </row>
    <row r="15" customFormat="false" ht="15" hidden="false" customHeight="true" outlineLevel="0" collapsed="false">
      <c r="A15" s="9" t="s">
        <v>17</v>
      </c>
      <c r="B15" s="10" t="s">
        <v>18</v>
      </c>
      <c r="C15" s="7" t="s">
        <v>19</v>
      </c>
      <c r="D15" s="7"/>
      <c r="E15" s="7"/>
      <c r="F15" s="7"/>
    </row>
    <row r="16" customFormat="false" ht="15" hidden="false" customHeight="true" outlineLevel="0" collapsed="false">
      <c r="A16" s="9" t="s">
        <v>20</v>
      </c>
      <c r="B16" s="11" t="s">
        <v>21</v>
      </c>
      <c r="C16" s="7" t="s">
        <v>22</v>
      </c>
      <c r="D16" s="7"/>
      <c r="E16" s="7"/>
      <c r="F16" s="7"/>
    </row>
    <row r="17" customFormat="false" ht="15" hidden="false" customHeight="true" outlineLevel="0" collapsed="false">
      <c r="A17" s="9" t="s">
        <v>23</v>
      </c>
      <c r="B17" s="12" t="s">
        <v>24</v>
      </c>
      <c r="C17" s="7" t="s">
        <v>25</v>
      </c>
      <c r="D17" s="7"/>
      <c r="E17" s="7"/>
      <c r="F17" s="7"/>
    </row>
    <row r="18" customFormat="false" ht="15" hidden="false" customHeight="true" outlineLevel="0" collapsed="false">
      <c r="A18" s="9" t="s">
        <v>26</v>
      </c>
      <c r="B18" s="13" t="s">
        <v>27</v>
      </c>
      <c r="C18" s="7" t="s">
        <v>28</v>
      </c>
      <c r="D18" s="7"/>
      <c r="E18" s="7"/>
      <c r="F18" s="7"/>
    </row>
    <row r="20" customFormat="false" ht="26.85" hidden="false" customHeight="false" outlineLevel="0" collapsed="false">
      <c r="A20" s="5" t="s">
        <v>29</v>
      </c>
    </row>
    <row r="21" customFormat="false" ht="15" hidden="false" customHeight="true" outlineLevel="0" collapsed="false">
      <c r="A21" s="8" t="s">
        <v>30</v>
      </c>
      <c r="B21" s="8" t="s">
        <v>31</v>
      </c>
      <c r="C21" s="8"/>
      <c r="D21" s="8"/>
      <c r="E21" s="8" t="s">
        <v>32</v>
      </c>
      <c r="F21" s="8" t="s">
        <v>33</v>
      </c>
    </row>
    <row r="22" customFormat="false" ht="15" hidden="false" customHeight="true" outlineLevel="0" collapsed="false">
      <c r="A22" s="6" t="s">
        <v>34</v>
      </c>
      <c r="B22" s="7" t="s">
        <v>35</v>
      </c>
      <c r="C22" s="7"/>
      <c r="D22" s="7"/>
      <c r="E22" s="14" t="n">
        <f aca="false">COUNTIF('Control Gap Assessment'!$G$4:$G$68,$A22)</f>
        <v>3</v>
      </c>
      <c r="F22" s="15" t="n">
        <f aca="false">E22/65</f>
        <v>0.0461538461538462</v>
      </c>
    </row>
    <row r="23" customFormat="false" ht="15" hidden="false" customHeight="true" outlineLevel="0" collapsed="false">
      <c r="A23" s="6" t="s">
        <v>36</v>
      </c>
      <c r="B23" s="7" t="s">
        <v>37</v>
      </c>
      <c r="C23" s="7"/>
      <c r="D23" s="7"/>
      <c r="E23" s="14" t="n">
        <f aca="false">COUNTIF('Control Gap Assessment'!$G$4:$G$68,$A23)</f>
        <v>24</v>
      </c>
      <c r="F23" s="15" t="n">
        <f aca="false">E23/65</f>
        <v>0.369230769230769</v>
      </c>
    </row>
    <row r="24" customFormat="false" ht="15" hidden="false" customHeight="true" outlineLevel="0" collapsed="false">
      <c r="A24" s="6" t="s">
        <v>38</v>
      </c>
      <c r="B24" s="7" t="s">
        <v>39</v>
      </c>
      <c r="C24" s="7"/>
      <c r="D24" s="7"/>
      <c r="E24" s="14" t="n">
        <f aca="false">COUNTIF('Control Gap Assessment'!$G$4:$G$68,$A24)</f>
        <v>32</v>
      </c>
      <c r="F24" s="15" t="n">
        <f aca="false">E24/65</f>
        <v>0.492307692307692</v>
      </c>
    </row>
    <row r="25" customFormat="false" ht="15" hidden="false" customHeight="true" outlineLevel="0" collapsed="false">
      <c r="A25" s="6" t="s">
        <v>40</v>
      </c>
      <c r="B25" s="7" t="s">
        <v>41</v>
      </c>
      <c r="C25" s="7"/>
      <c r="D25" s="7"/>
      <c r="E25" s="14" t="n">
        <f aca="false">COUNTIF('Control Gap Assessment'!$G$4:$G$68,$A25)</f>
        <v>1</v>
      </c>
      <c r="F25" s="15" t="n">
        <f aca="false">E25/65</f>
        <v>0.0153846153846154</v>
      </c>
    </row>
    <row r="26" customFormat="false" ht="15" hidden="false" customHeight="true" outlineLevel="0" collapsed="false">
      <c r="A26" s="6" t="s">
        <v>42</v>
      </c>
      <c r="B26" s="7" t="s">
        <v>43</v>
      </c>
      <c r="C26" s="7"/>
      <c r="D26" s="7"/>
      <c r="E26" s="14" t="n">
        <f aca="false">COUNTIF('Control Gap Assessment'!$G$4:$G$68,$A26)</f>
        <v>5</v>
      </c>
      <c r="F26" s="15" t="n">
        <f aca="false">E26/65</f>
        <v>0.0769230769230769</v>
      </c>
    </row>
    <row r="27" customFormat="false" ht="15" hidden="false" customHeight="false" outlineLevel="0" collapsed="false">
      <c r="A27" s="6" t="s">
        <v>44</v>
      </c>
      <c r="B27" s="7"/>
      <c r="C27" s="7"/>
      <c r="D27" s="7"/>
      <c r="E27" s="16" t="n">
        <f aca="false">SUM(E22:E26)</f>
        <v>65</v>
      </c>
      <c r="F27" s="17" t="n">
        <f aca="false">SUM(F22:F26)</f>
        <v>1</v>
      </c>
    </row>
    <row r="29" customFormat="false" ht="39.55" hidden="false" customHeight="false" outlineLevel="0" collapsed="false">
      <c r="A29" s="5" t="s">
        <v>45</v>
      </c>
    </row>
    <row r="30" customFormat="false" ht="15" hidden="false" customHeight="true" outlineLevel="0" collapsed="false">
      <c r="A30" s="8" t="s">
        <v>15</v>
      </c>
      <c r="B30" s="8" t="s">
        <v>46</v>
      </c>
      <c r="C30" s="8" t="s">
        <v>47</v>
      </c>
      <c r="D30" s="8"/>
      <c r="E30" s="8"/>
      <c r="F30" s="8"/>
    </row>
    <row r="31" customFormat="false" ht="15" hidden="false" customHeight="false" outlineLevel="0" collapsed="false">
      <c r="A31" s="10" t="s">
        <v>18</v>
      </c>
      <c r="B31" s="14" t="n">
        <f aca="false">COUNTIF('Risk Register'!$K$4:$K$18,$A31)</f>
        <v>3</v>
      </c>
      <c r="C31" s="18" t="n">
        <f aca="false">COUNTIF('Risk Register'!$Q$4:$Q$18,$A31)</f>
        <v>0</v>
      </c>
      <c r="D31" s="18"/>
      <c r="E31" s="18"/>
      <c r="F31" s="18"/>
    </row>
    <row r="32" customFormat="false" ht="15" hidden="false" customHeight="false" outlineLevel="0" collapsed="false">
      <c r="A32" s="11" t="s">
        <v>21</v>
      </c>
      <c r="B32" s="14" t="n">
        <f aca="false">COUNTIF('Risk Register'!$K$4:$K$18,$A32)</f>
        <v>9</v>
      </c>
      <c r="C32" s="18" t="n">
        <f aca="false">COUNTIF('Risk Register'!$Q$4:$Q$18,$A32)</f>
        <v>1</v>
      </c>
      <c r="D32" s="18"/>
      <c r="E32" s="18"/>
      <c r="F32" s="18"/>
    </row>
    <row r="33" customFormat="false" ht="15" hidden="false" customHeight="false" outlineLevel="0" collapsed="false">
      <c r="A33" s="12" t="s">
        <v>24</v>
      </c>
      <c r="B33" s="14" t="n">
        <f aca="false">COUNTIF('Risk Register'!$K$4:$K$18,$A33)</f>
        <v>3</v>
      </c>
      <c r="C33" s="18" t="n">
        <f aca="false">COUNTIF('Risk Register'!$Q$4:$Q$18,$A33)</f>
        <v>9</v>
      </c>
      <c r="D33" s="18"/>
      <c r="E33" s="18"/>
      <c r="F33" s="18"/>
    </row>
    <row r="34" customFormat="false" ht="15" hidden="false" customHeight="false" outlineLevel="0" collapsed="false">
      <c r="A34" s="13" t="s">
        <v>27</v>
      </c>
      <c r="B34" s="14" t="n">
        <f aca="false">COUNTIF('Risk Register'!$K$4:$K$18,$A34)</f>
        <v>0</v>
      </c>
      <c r="C34" s="18" t="n">
        <f aca="false">COUNTIF('Risk Register'!$Q$4:$Q$18,$A34)</f>
        <v>5</v>
      </c>
      <c r="D34" s="18"/>
      <c r="E34" s="18"/>
      <c r="F34" s="18"/>
    </row>
    <row r="37" customFormat="false" ht="26.85" hidden="false" customHeight="false" outlineLevel="0" collapsed="false">
      <c r="A37" s="5" t="s">
        <v>48</v>
      </c>
    </row>
    <row r="38" customFormat="false" ht="15" hidden="false" customHeight="true" outlineLevel="0" collapsed="false">
      <c r="A38" s="9" t="s">
        <v>49</v>
      </c>
      <c r="B38" s="7" t="s">
        <v>50</v>
      </c>
      <c r="C38" s="7"/>
      <c r="D38" s="7"/>
      <c r="E38" s="7"/>
      <c r="F38" s="7"/>
    </row>
    <row r="39" customFormat="false" ht="15" hidden="false" customHeight="true" outlineLevel="0" collapsed="false">
      <c r="A39" s="9" t="s">
        <v>49</v>
      </c>
      <c r="B39" s="7" t="s">
        <v>51</v>
      </c>
      <c r="C39" s="7"/>
      <c r="D39" s="7"/>
      <c r="E39" s="7"/>
      <c r="F39" s="7"/>
    </row>
    <row r="40" customFormat="false" ht="15" hidden="false" customHeight="true" outlineLevel="0" collapsed="false">
      <c r="A40" s="9" t="s">
        <v>49</v>
      </c>
      <c r="B40" s="7" t="s">
        <v>52</v>
      </c>
      <c r="C40" s="7"/>
      <c r="D40" s="7"/>
      <c r="E40" s="7"/>
      <c r="F40" s="7"/>
    </row>
    <row r="41" customFormat="false" ht="15" hidden="false" customHeight="true" outlineLevel="0" collapsed="false">
      <c r="A41" s="9" t="s">
        <v>49</v>
      </c>
      <c r="B41" s="7" t="s">
        <v>53</v>
      </c>
      <c r="C41" s="7"/>
      <c r="D41" s="7"/>
      <c r="E41" s="7"/>
      <c r="F41" s="7"/>
    </row>
    <row r="42" customFormat="false" ht="15" hidden="false" customHeight="true" outlineLevel="0" collapsed="false">
      <c r="A42" s="9" t="s">
        <v>49</v>
      </c>
      <c r="B42" s="7" t="s">
        <v>54</v>
      </c>
      <c r="C42" s="7"/>
      <c r="D42" s="7"/>
      <c r="E42" s="7"/>
      <c r="F42" s="7"/>
    </row>
    <row r="45" customFormat="false" ht="15" hidden="false" customHeight="false" outlineLevel="0" collapsed="false">
      <c r="A45" s="5" t="s">
        <v>55</v>
      </c>
    </row>
    <row r="46" customFormat="false" ht="15" hidden="false" customHeight="true" outlineLevel="0" collapsed="false">
      <c r="A46" s="7" t="s">
        <v>56</v>
      </c>
      <c r="B46" s="7"/>
      <c r="C46" s="7"/>
      <c r="D46" s="7"/>
      <c r="E46" s="7"/>
      <c r="F46" s="7"/>
    </row>
    <row r="47" customFormat="false" ht="15" hidden="false" customHeight="true" outlineLevel="0" collapsed="false">
      <c r="A47" s="7" t="s">
        <v>57</v>
      </c>
      <c r="B47" s="7"/>
      <c r="C47" s="7"/>
      <c r="D47" s="7"/>
      <c r="E47" s="7"/>
      <c r="F47" s="7"/>
    </row>
    <row r="48" customFormat="false" ht="15" hidden="false" customHeight="true" outlineLevel="0" collapsed="false">
      <c r="A48" s="7" t="s">
        <v>58</v>
      </c>
      <c r="B48" s="7"/>
      <c r="C48" s="7"/>
      <c r="D48" s="7"/>
      <c r="E48" s="7"/>
      <c r="F48" s="7"/>
    </row>
    <row r="49" customFormat="false" ht="15" hidden="false" customHeight="true" outlineLevel="0" collapsed="false">
      <c r="A49" s="7" t="s">
        <v>59</v>
      </c>
      <c r="B49" s="7"/>
      <c r="C49" s="7"/>
      <c r="D49" s="7"/>
      <c r="E49" s="7"/>
      <c r="F49" s="7"/>
    </row>
    <row r="50" customFormat="false" ht="15" hidden="false" customHeight="true" outlineLevel="0" collapsed="false">
      <c r="A50" s="7" t="s">
        <v>60</v>
      </c>
      <c r="B50" s="7"/>
      <c r="C50" s="7"/>
      <c r="D50" s="7"/>
      <c r="E50" s="7"/>
      <c r="F50" s="7"/>
    </row>
    <row r="51" customFormat="false" ht="15" hidden="false" customHeight="true" outlineLevel="0" collapsed="false">
      <c r="A51" s="7" t="s">
        <v>61</v>
      </c>
      <c r="B51" s="7"/>
      <c r="C51" s="7"/>
      <c r="D51" s="7"/>
      <c r="E51" s="7"/>
      <c r="F51" s="7"/>
    </row>
  </sheetData>
  <mergeCells count="35">
    <mergeCell ref="A1:F1"/>
    <mergeCell ref="A2:F2"/>
    <mergeCell ref="A4:F4"/>
    <mergeCell ref="A5:F5"/>
    <mergeCell ref="B8:F8"/>
    <mergeCell ref="B9:F9"/>
    <mergeCell ref="B10:F10"/>
    <mergeCell ref="B11:F11"/>
    <mergeCell ref="C15:F15"/>
    <mergeCell ref="C16:F16"/>
    <mergeCell ref="C17:F17"/>
    <mergeCell ref="C18:F18"/>
    <mergeCell ref="B21:D21"/>
    <mergeCell ref="B22:D22"/>
    <mergeCell ref="B23:D23"/>
    <mergeCell ref="B24:D24"/>
    <mergeCell ref="B25:D25"/>
    <mergeCell ref="B26:D26"/>
    <mergeCell ref="B27:D27"/>
    <mergeCell ref="C30:F30"/>
    <mergeCell ref="C31:F31"/>
    <mergeCell ref="C32:F32"/>
    <mergeCell ref="C33:F33"/>
    <mergeCell ref="C34:F34"/>
    <mergeCell ref="B38:F38"/>
    <mergeCell ref="B39:F39"/>
    <mergeCell ref="B40:F40"/>
    <mergeCell ref="B41:F41"/>
    <mergeCell ref="B42:F42"/>
    <mergeCell ref="A46:F46"/>
    <mergeCell ref="A47:F47"/>
    <mergeCell ref="A48:F48"/>
    <mergeCell ref="A49:F49"/>
    <mergeCell ref="A50:F50"/>
    <mergeCell ref="A51:F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6"/>
    <col collapsed="false" customWidth="true" hidden="false" outlineLevel="0" max="5" min="4" style="0" width="18"/>
    <col collapsed="false" customWidth="true" hidden="false" outlineLevel="0" max="6" min="6" style="0" width="12"/>
    <col collapsed="false" customWidth="true" hidden="false" outlineLevel="0" max="7" min="7" style="0" width="20"/>
    <col collapsed="false" customWidth="true" hidden="false" outlineLevel="0" max="8" min="8" style="0" width="46"/>
  </cols>
  <sheetData>
    <row r="1" customFormat="false" ht="21.75" hidden="false" customHeight="true" outlineLevel="0" collapsed="false">
      <c r="A1" s="1" t="s">
        <v>62</v>
      </c>
      <c r="B1" s="1"/>
      <c r="C1" s="1"/>
      <c r="D1" s="1"/>
      <c r="E1" s="1"/>
      <c r="F1" s="1"/>
      <c r="G1" s="1"/>
      <c r="H1" s="1"/>
    </row>
    <row r="2" customFormat="false" ht="15.75" hidden="false" customHeight="true" outlineLevel="0" collapsed="false">
      <c r="A2" s="2" t="s">
        <v>63</v>
      </c>
      <c r="B2" s="2"/>
      <c r="C2" s="2"/>
      <c r="D2" s="2"/>
      <c r="E2" s="2"/>
      <c r="F2" s="2"/>
      <c r="G2" s="2"/>
      <c r="H2" s="2"/>
    </row>
    <row r="3" customFormat="false" ht="15" hidden="false" customHeight="false" outlineLevel="0" collapsed="false">
      <c r="A3" s="8" t="s">
        <v>64</v>
      </c>
      <c r="B3" s="8" t="s">
        <v>65</v>
      </c>
      <c r="C3" s="8" t="s">
        <v>66</v>
      </c>
      <c r="D3" s="8" t="s">
        <v>67</v>
      </c>
      <c r="E3" s="8" t="s">
        <v>68</v>
      </c>
      <c r="F3" s="8" t="s">
        <v>69</v>
      </c>
      <c r="G3" s="8" t="s">
        <v>70</v>
      </c>
      <c r="H3" s="8" t="s">
        <v>71</v>
      </c>
    </row>
    <row r="4" customFormat="false" ht="30" hidden="false" customHeight="true" outlineLevel="0" collapsed="false">
      <c r="A4" s="4" t="s">
        <v>72</v>
      </c>
      <c r="B4" s="4" t="s">
        <v>73</v>
      </c>
      <c r="C4" s="4" t="s">
        <v>74</v>
      </c>
      <c r="D4" s="9" t="s">
        <v>75</v>
      </c>
      <c r="E4" s="4" t="s">
        <v>76</v>
      </c>
      <c r="F4" s="19" t="s">
        <v>18</v>
      </c>
      <c r="G4" s="4" t="s">
        <v>77</v>
      </c>
      <c r="H4" s="4" t="s">
        <v>78</v>
      </c>
    </row>
    <row r="5" customFormat="false" ht="30" hidden="false" customHeight="true" outlineLevel="0" collapsed="false">
      <c r="A5" s="4" t="s">
        <v>79</v>
      </c>
      <c r="B5" s="4" t="s">
        <v>80</v>
      </c>
      <c r="C5" s="4" t="s">
        <v>74</v>
      </c>
      <c r="D5" s="9" t="s">
        <v>81</v>
      </c>
      <c r="E5" s="4" t="s">
        <v>82</v>
      </c>
      <c r="F5" s="19" t="s">
        <v>21</v>
      </c>
      <c r="G5" s="4" t="s">
        <v>83</v>
      </c>
      <c r="H5" s="4" t="s">
        <v>84</v>
      </c>
    </row>
    <row r="6" customFormat="false" ht="30" hidden="false" customHeight="true" outlineLevel="0" collapsed="false">
      <c r="A6" s="4" t="s">
        <v>85</v>
      </c>
      <c r="B6" s="4" t="s">
        <v>86</v>
      </c>
      <c r="C6" s="4" t="s">
        <v>74</v>
      </c>
      <c r="D6" s="9" t="s">
        <v>87</v>
      </c>
      <c r="E6" s="4" t="s">
        <v>88</v>
      </c>
      <c r="F6" s="19" t="s">
        <v>21</v>
      </c>
      <c r="G6" s="4" t="s">
        <v>89</v>
      </c>
      <c r="H6" s="4" t="s">
        <v>90</v>
      </c>
    </row>
    <row r="7" customFormat="false" ht="30" hidden="false" customHeight="true" outlineLevel="0" collapsed="false">
      <c r="A7" s="4" t="s">
        <v>91</v>
      </c>
      <c r="B7" s="4" t="s">
        <v>92</v>
      </c>
      <c r="C7" s="4" t="s">
        <v>93</v>
      </c>
      <c r="D7" s="9" t="s">
        <v>81</v>
      </c>
      <c r="E7" s="4" t="s">
        <v>94</v>
      </c>
      <c r="F7" s="19" t="s">
        <v>21</v>
      </c>
      <c r="G7" s="4" t="s">
        <v>89</v>
      </c>
      <c r="H7" s="4" t="s">
        <v>95</v>
      </c>
    </row>
    <row r="8" customFormat="false" ht="30" hidden="false" customHeight="true" outlineLevel="0" collapsed="false">
      <c r="A8" s="4" t="s">
        <v>96</v>
      </c>
      <c r="B8" s="4" t="s">
        <v>97</v>
      </c>
      <c r="C8" s="4" t="s">
        <v>98</v>
      </c>
      <c r="D8" s="9" t="s">
        <v>81</v>
      </c>
      <c r="E8" s="4" t="s">
        <v>99</v>
      </c>
      <c r="F8" s="19" t="s">
        <v>24</v>
      </c>
      <c r="G8" s="4" t="s">
        <v>77</v>
      </c>
      <c r="H8" s="4" t="s">
        <v>100</v>
      </c>
    </row>
    <row r="9" customFormat="false" ht="30" hidden="false" customHeight="true" outlineLevel="0" collapsed="false">
      <c r="A9" s="4" t="s">
        <v>101</v>
      </c>
      <c r="B9" s="4" t="s">
        <v>102</v>
      </c>
      <c r="C9" s="4" t="s">
        <v>74</v>
      </c>
      <c r="D9" s="9" t="s">
        <v>81</v>
      </c>
      <c r="E9" s="4" t="s">
        <v>103</v>
      </c>
      <c r="F9" s="19" t="s">
        <v>24</v>
      </c>
      <c r="G9" s="4" t="s">
        <v>104</v>
      </c>
      <c r="H9" s="4" t="s">
        <v>105</v>
      </c>
    </row>
    <row r="10" customFormat="false" ht="30" hidden="false" customHeight="true" outlineLevel="0" collapsed="false">
      <c r="A10" s="4" t="s">
        <v>106</v>
      </c>
      <c r="B10" s="4" t="s">
        <v>107</v>
      </c>
      <c r="C10" s="4" t="s">
        <v>108</v>
      </c>
      <c r="D10" s="9" t="s">
        <v>81</v>
      </c>
      <c r="E10" s="4" t="s">
        <v>109</v>
      </c>
      <c r="F10" s="19" t="s">
        <v>24</v>
      </c>
      <c r="G10" s="4" t="s">
        <v>89</v>
      </c>
      <c r="H10" s="4" t="s">
        <v>110</v>
      </c>
    </row>
    <row r="11" customFormat="false" ht="30" hidden="false" customHeight="true" outlineLevel="0" collapsed="false">
      <c r="A11" s="4" t="s">
        <v>111</v>
      </c>
      <c r="B11" s="4" t="s">
        <v>112</v>
      </c>
      <c r="C11" s="4" t="s">
        <v>113</v>
      </c>
      <c r="D11" s="9" t="s">
        <v>114</v>
      </c>
      <c r="E11" s="4" t="s">
        <v>115</v>
      </c>
      <c r="F11" s="19" t="s">
        <v>18</v>
      </c>
      <c r="G11" s="4" t="s">
        <v>89</v>
      </c>
      <c r="H11" s="4" t="s">
        <v>116</v>
      </c>
    </row>
    <row r="12" customFormat="false" ht="30" hidden="false" customHeight="true" outlineLevel="0" collapsed="false">
      <c r="A12" s="4" t="s">
        <v>117</v>
      </c>
      <c r="B12" s="4" t="s">
        <v>118</v>
      </c>
      <c r="C12" s="4" t="s">
        <v>93</v>
      </c>
      <c r="D12" s="9" t="s">
        <v>119</v>
      </c>
      <c r="E12" s="4" t="s">
        <v>120</v>
      </c>
      <c r="F12" s="19" t="s">
        <v>18</v>
      </c>
      <c r="G12" s="4" t="s">
        <v>89</v>
      </c>
      <c r="H12" s="4" t="s">
        <v>121</v>
      </c>
    </row>
    <row r="13" customFormat="false" ht="30" hidden="false" customHeight="true" outlineLevel="0" collapsed="false">
      <c r="A13" s="4" t="s">
        <v>122</v>
      </c>
      <c r="B13" s="4" t="s">
        <v>123</v>
      </c>
      <c r="C13" s="4" t="s">
        <v>124</v>
      </c>
      <c r="D13" s="9" t="s">
        <v>125</v>
      </c>
      <c r="E13" s="4" t="s">
        <v>126</v>
      </c>
      <c r="F13" s="19" t="s">
        <v>21</v>
      </c>
      <c r="G13" s="4" t="s">
        <v>89</v>
      </c>
      <c r="H13" s="4" t="s">
        <v>127</v>
      </c>
    </row>
    <row r="14" customFormat="false" ht="30" hidden="false" customHeight="true" outlineLevel="0" collapsed="false">
      <c r="A14" s="4" t="s">
        <v>128</v>
      </c>
      <c r="B14" s="4" t="s">
        <v>129</v>
      </c>
      <c r="C14" s="4" t="s">
        <v>130</v>
      </c>
      <c r="D14" s="9" t="s">
        <v>125</v>
      </c>
      <c r="E14" s="4" t="s">
        <v>126</v>
      </c>
      <c r="F14" s="19" t="s">
        <v>21</v>
      </c>
      <c r="G14" s="4" t="s">
        <v>89</v>
      </c>
      <c r="H14" s="4" t="s">
        <v>131</v>
      </c>
    </row>
    <row r="15" customFormat="false" ht="30" hidden="false" customHeight="true" outlineLevel="0" collapsed="false">
      <c r="A15" s="4" t="s">
        <v>132</v>
      </c>
      <c r="B15" s="4" t="s">
        <v>133</v>
      </c>
      <c r="C15" s="4" t="s">
        <v>130</v>
      </c>
      <c r="D15" s="9" t="s">
        <v>81</v>
      </c>
      <c r="E15" s="4" t="s">
        <v>134</v>
      </c>
      <c r="F15" s="19" t="s">
        <v>24</v>
      </c>
      <c r="G15" s="4" t="s">
        <v>77</v>
      </c>
      <c r="H15" s="4" t="s">
        <v>135</v>
      </c>
    </row>
    <row r="16" customFormat="false" ht="30" hidden="false" customHeight="true" outlineLevel="0" collapsed="false">
      <c r="A16" s="4" t="s">
        <v>136</v>
      </c>
      <c r="B16" s="4" t="s">
        <v>137</v>
      </c>
      <c r="C16" s="4" t="s">
        <v>138</v>
      </c>
      <c r="D16" s="9" t="s">
        <v>139</v>
      </c>
      <c r="E16" s="4" t="s">
        <v>140</v>
      </c>
      <c r="F16" s="19" t="s">
        <v>18</v>
      </c>
      <c r="G16" s="4" t="s">
        <v>89</v>
      </c>
      <c r="H16" s="4" t="s">
        <v>141</v>
      </c>
    </row>
    <row r="17" customFormat="false" ht="30" hidden="false" customHeight="true" outlineLevel="0" collapsed="false">
      <c r="A17" s="4" t="s">
        <v>142</v>
      </c>
      <c r="B17" s="4" t="s">
        <v>143</v>
      </c>
      <c r="C17" s="4" t="s">
        <v>124</v>
      </c>
      <c r="D17" s="9" t="s">
        <v>144</v>
      </c>
      <c r="E17" s="4" t="s">
        <v>145</v>
      </c>
      <c r="F17" s="19" t="s">
        <v>24</v>
      </c>
      <c r="G17" s="4" t="s">
        <v>104</v>
      </c>
      <c r="H17" s="4" t="s">
        <v>146</v>
      </c>
    </row>
  </sheetData>
  <autoFilter ref="A3:H17"/>
  <mergeCells count="2">
    <mergeCell ref="A1:H1"/>
    <mergeCell ref="A2:H2"/>
  </mergeCells>
  <conditionalFormatting sqref="F4:F17">
    <cfRule type="cellIs" priority="2" operator="equal" aboveAverage="0" equalAverage="0" bottom="0" percent="0" rank="0" text="" dxfId="7">
      <formula>"Critical"</formula>
    </cfRule>
    <cfRule type="cellIs" priority="3" operator="equal" aboveAverage="0" equalAverage="0" bottom="0" percent="0" rank="0" text="" dxfId="8">
      <formula>"High"</formula>
    </cfRule>
    <cfRule type="cellIs" priority="4" operator="equal" aboveAverage="0" equalAverage="0" bottom="0" percent="0" rank="0" text="" dxfId="9">
      <formula>"Moderate"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21"/>
    <col collapsed="false" customWidth="true" hidden="false" outlineLevel="0" max="4" min="4" style="0" width="34"/>
    <col collapsed="false" customWidth="true" hidden="false" outlineLevel="0" max="5" min="5" style="0" width="13"/>
    <col collapsed="false" customWidth="true" hidden="false" outlineLevel="0" max="6" min="6" style="0" width="46"/>
    <col collapsed="false" customWidth="true" hidden="false" outlineLevel="0" max="7" min="7" style="0" width="18"/>
    <col collapsed="false" customWidth="true" hidden="false" outlineLevel="0" max="8" min="8" style="0" width="42"/>
    <col collapsed="false" customWidth="true" hidden="false" outlineLevel="0" max="9" min="9" style="0" width="62"/>
    <col collapsed="false" customWidth="true" hidden="false" outlineLevel="0" max="10" min="10" style="0" width="9"/>
    <col collapsed="false" customWidth="true" hidden="false" outlineLevel="0" max="11" min="11" style="0" width="20"/>
  </cols>
  <sheetData>
    <row r="1" customFormat="false" ht="21.75" hidden="false" customHeight="true" outlineLevel="0" collapsed="false">
      <c r="A1" s="1" t="s">
        <v>147</v>
      </c>
      <c r="B1" s="1"/>
      <c r="C1" s="1"/>
      <c r="D1" s="1"/>
      <c r="E1" s="1"/>
      <c r="F1" s="1"/>
      <c r="G1" s="1"/>
      <c r="H1" s="1"/>
      <c r="I1" s="1"/>
      <c r="J1" s="1"/>
      <c r="K1" s="1"/>
    </row>
    <row r="2" customFormat="false" ht="15.75" hidden="false" customHeight="true" outlineLevel="0" collapsed="false">
      <c r="A2" s="2" t="s">
        <v>148</v>
      </c>
      <c r="B2" s="2"/>
      <c r="C2" s="2"/>
      <c r="D2" s="2"/>
      <c r="E2" s="2"/>
      <c r="F2" s="2"/>
      <c r="G2" s="2"/>
      <c r="H2" s="2"/>
      <c r="I2" s="2"/>
      <c r="J2" s="2"/>
      <c r="K2" s="2"/>
    </row>
    <row r="3" customFormat="false" ht="23.85" hidden="false" customHeight="false" outlineLevel="0" collapsed="false">
      <c r="A3" s="8" t="s">
        <v>149</v>
      </c>
      <c r="B3" s="8" t="s">
        <v>150</v>
      </c>
      <c r="C3" s="8" t="s">
        <v>151</v>
      </c>
      <c r="D3" s="8" t="s">
        <v>152</v>
      </c>
      <c r="E3" s="8" t="s">
        <v>66</v>
      </c>
      <c r="F3" s="8" t="s">
        <v>153</v>
      </c>
      <c r="G3" s="8" t="s">
        <v>154</v>
      </c>
      <c r="H3" s="8" t="s">
        <v>155</v>
      </c>
      <c r="I3" s="8" t="s">
        <v>156</v>
      </c>
      <c r="J3" s="8" t="s">
        <v>157</v>
      </c>
      <c r="K3" s="8" t="s">
        <v>158</v>
      </c>
    </row>
    <row r="4" customFormat="false" ht="78" hidden="false" customHeight="true" outlineLevel="0" collapsed="false">
      <c r="A4" s="9" t="s">
        <v>159</v>
      </c>
      <c r="B4" s="4" t="s">
        <v>160</v>
      </c>
      <c r="C4" s="6" t="s">
        <v>161</v>
      </c>
      <c r="D4" s="4" t="s">
        <v>162</v>
      </c>
      <c r="E4" s="9" t="s">
        <v>163</v>
      </c>
      <c r="F4" s="4" t="s">
        <v>164</v>
      </c>
      <c r="G4" s="20" t="s">
        <v>38</v>
      </c>
      <c r="H4" s="4" t="s">
        <v>165</v>
      </c>
      <c r="I4" s="4" t="s">
        <v>166</v>
      </c>
      <c r="J4" s="9" t="s">
        <v>167</v>
      </c>
      <c r="K4" s="4" t="s">
        <v>168</v>
      </c>
    </row>
    <row r="5" customFormat="false" ht="78" hidden="false" customHeight="true" outlineLevel="0" collapsed="false">
      <c r="A5" s="9" t="s">
        <v>169</v>
      </c>
      <c r="B5" s="4" t="s">
        <v>160</v>
      </c>
      <c r="C5" s="6" t="s">
        <v>170</v>
      </c>
      <c r="D5" s="4" t="s">
        <v>171</v>
      </c>
      <c r="E5" s="9" t="s">
        <v>172</v>
      </c>
      <c r="F5" s="4" t="s">
        <v>173</v>
      </c>
      <c r="G5" s="20" t="s">
        <v>38</v>
      </c>
      <c r="H5" s="4" t="s">
        <v>174</v>
      </c>
      <c r="I5" s="4" t="s">
        <v>175</v>
      </c>
      <c r="J5" s="9" t="s">
        <v>167</v>
      </c>
      <c r="K5" s="4" t="s">
        <v>176</v>
      </c>
    </row>
    <row r="6" customFormat="false" ht="78" hidden="false" customHeight="true" outlineLevel="0" collapsed="false">
      <c r="A6" s="9" t="s">
        <v>177</v>
      </c>
      <c r="B6" s="4" t="s">
        <v>160</v>
      </c>
      <c r="C6" s="6" t="s">
        <v>178</v>
      </c>
      <c r="D6" s="4" t="s">
        <v>179</v>
      </c>
      <c r="E6" s="9" t="s">
        <v>172</v>
      </c>
      <c r="F6" s="4" t="s">
        <v>180</v>
      </c>
      <c r="G6" s="20" t="s">
        <v>38</v>
      </c>
      <c r="H6" s="4" t="s">
        <v>181</v>
      </c>
      <c r="I6" s="4" t="s">
        <v>182</v>
      </c>
      <c r="J6" s="9" t="s">
        <v>167</v>
      </c>
      <c r="K6" s="4" t="s">
        <v>183</v>
      </c>
    </row>
    <row r="7" customFormat="false" ht="78" hidden="false" customHeight="true" outlineLevel="0" collapsed="false">
      <c r="A7" s="9" t="s">
        <v>184</v>
      </c>
      <c r="B7" s="4" t="s">
        <v>160</v>
      </c>
      <c r="C7" s="6" t="s">
        <v>185</v>
      </c>
      <c r="D7" s="4" t="s">
        <v>186</v>
      </c>
      <c r="E7" s="9" t="s">
        <v>172</v>
      </c>
      <c r="F7" s="4" t="s">
        <v>187</v>
      </c>
      <c r="G7" s="20" t="s">
        <v>36</v>
      </c>
      <c r="H7" s="4" t="s">
        <v>188</v>
      </c>
      <c r="I7" s="4" t="s">
        <v>189</v>
      </c>
      <c r="J7" s="9" t="s">
        <v>190</v>
      </c>
      <c r="K7" s="4" t="s">
        <v>191</v>
      </c>
    </row>
    <row r="8" customFormat="false" ht="78" hidden="false" customHeight="true" outlineLevel="0" collapsed="false">
      <c r="A8" s="9" t="s">
        <v>192</v>
      </c>
      <c r="B8" s="4" t="s">
        <v>160</v>
      </c>
      <c r="C8" s="6" t="s">
        <v>193</v>
      </c>
      <c r="D8" s="4" t="s">
        <v>194</v>
      </c>
      <c r="E8" s="9" t="s">
        <v>172</v>
      </c>
      <c r="F8" s="4" t="s">
        <v>195</v>
      </c>
      <c r="G8" s="20" t="s">
        <v>38</v>
      </c>
      <c r="H8" s="4" t="s">
        <v>196</v>
      </c>
      <c r="I8" s="4" t="s">
        <v>197</v>
      </c>
      <c r="J8" s="9" t="s">
        <v>198</v>
      </c>
      <c r="K8" s="4" t="s">
        <v>199</v>
      </c>
    </row>
    <row r="9" customFormat="false" ht="78" hidden="false" customHeight="true" outlineLevel="0" collapsed="false">
      <c r="A9" s="9" t="s">
        <v>200</v>
      </c>
      <c r="B9" s="4" t="s">
        <v>160</v>
      </c>
      <c r="C9" s="6" t="s">
        <v>201</v>
      </c>
      <c r="D9" s="4" t="s">
        <v>202</v>
      </c>
      <c r="E9" s="9" t="s">
        <v>203</v>
      </c>
      <c r="F9" s="4" t="s">
        <v>204</v>
      </c>
      <c r="G9" s="20" t="s">
        <v>36</v>
      </c>
      <c r="H9" s="4" t="s">
        <v>205</v>
      </c>
      <c r="I9" s="4" t="s">
        <v>206</v>
      </c>
      <c r="J9" s="9" t="s">
        <v>167</v>
      </c>
      <c r="K9" s="4" t="s">
        <v>207</v>
      </c>
    </row>
    <row r="10" customFormat="false" ht="78" hidden="false" customHeight="true" outlineLevel="0" collapsed="false">
      <c r="A10" s="9" t="s">
        <v>208</v>
      </c>
      <c r="B10" s="4" t="s">
        <v>160</v>
      </c>
      <c r="C10" s="6" t="s">
        <v>209</v>
      </c>
      <c r="D10" s="4" t="s">
        <v>210</v>
      </c>
      <c r="E10" s="9" t="s">
        <v>163</v>
      </c>
      <c r="F10" s="4" t="s">
        <v>211</v>
      </c>
      <c r="G10" s="20" t="s">
        <v>36</v>
      </c>
      <c r="H10" s="4" t="s">
        <v>212</v>
      </c>
      <c r="I10" s="4" t="s">
        <v>213</v>
      </c>
      <c r="J10" s="9" t="s">
        <v>214</v>
      </c>
      <c r="K10" s="4" t="s">
        <v>215</v>
      </c>
    </row>
    <row r="11" customFormat="false" ht="78" hidden="false" customHeight="true" outlineLevel="0" collapsed="false">
      <c r="A11" s="9" t="s">
        <v>216</v>
      </c>
      <c r="B11" s="4" t="s">
        <v>160</v>
      </c>
      <c r="C11" s="6" t="s">
        <v>217</v>
      </c>
      <c r="D11" s="4" t="s">
        <v>218</v>
      </c>
      <c r="E11" s="9" t="s">
        <v>219</v>
      </c>
      <c r="F11" s="4" t="s">
        <v>220</v>
      </c>
      <c r="G11" s="20" t="s">
        <v>36</v>
      </c>
      <c r="H11" s="4" t="s">
        <v>221</v>
      </c>
      <c r="I11" s="4" t="s">
        <v>222</v>
      </c>
      <c r="J11" s="9" t="s">
        <v>214</v>
      </c>
      <c r="K11" s="4" t="s">
        <v>223</v>
      </c>
    </row>
    <row r="12" customFormat="false" ht="78" hidden="false" customHeight="true" outlineLevel="0" collapsed="false">
      <c r="A12" s="9" t="s">
        <v>224</v>
      </c>
      <c r="B12" s="4" t="s">
        <v>160</v>
      </c>
      <c r="C12" s="6" t="s">
        <v>225</v>
      </c>
      <c r="D12" s="4" t="s">
        <v>226</v>
      </c>
      <c r="E12" s="9" t="s">
        <v>219</v>
      </c>
      <c r="F12" s="4" t="s">
        <v>227</v>
      </c>
      <c r="G12" s="20" t="s">
        <v>36</v>
      </c>
      <c r="H12" s="4" t="s">
        <v>228</v>
      </c>
      <c r="I12" s="4" t="s">
        <v>229</v>
      </c>
      <c r="J12" s="9" t="s">
        <v>214</v>
      </c>
      <c r="K12" s="4" t="s">
        <v>230</v>
      </c>
    </row>
    <row r="13" customFormat="false" ht="78" hidden="false" customHeight="true" outlineLevel="0" collapsed="false">
      <c r="A13" s="9" t="s">
        <v>231</v>
      </c>
      <c r="B13" s="4" t="s">
        <v>160</v>
      </c>
      <c r="C13" s="6" t="s">
        <v>232</v>
      </c>
      <c r="D13" s="4" t="s">
        <v>233</v>
      </c>
      <c r="E13" s="9" t="s">
        <v>219</v>
      </c>
      <c r="F13" s="4" t="s">
        <v>234</v>
      </c>
      <c r="G13" s="20" t="s">
        <v>38</v>
      </c>
      <c r="H13" s="4" t="s">
        <v>235</v>
      </c>
      <c r="I13" s="4" t="s">
        <v>236</v>
      </c>
      <c r="J13" s="9" t="s">
        <v>214</v>
      </c>
      <c r="K13" s="4" t="s">
        <v>237</v>
      </c>
    </row>
    <row r="14" customFormat="false" ht="78" hidden="false" customHeight="true" outlineLevel="0" collapsed="false">
      <c r="A14" s="9" t="s">
        <v>238</v>
      </c>
      <c r="B14" s="4" t="s">
        <v>160</v>
      </c>
      <c r="C14" s="6" t="s">
        <v>239</v>
      </c>
      <c r="D14" s="4" t="s">
        <v>240</v>
      </c>
      <c r="E14" s="9" t="s">
        <v>163</v>
      </c>
      <c r="F14" s="4" t="s">
        <v>241</v>
      </c>
      <c r="G14" s="20" t="s">
        <v>34</v>
      </c>
      <c r="H14" s="4" t="s">
        <v>242</v>
      </c>
      <c r="I14" s="4" t="s">
        <v>243</v>
      </c>
      <c r="J14" s="9"/>
      <c r="K14" s="4" t="s">
        <v>244</v>
      </c>
    </row>
    <row r="15" customFormat="false" ht="78" hidden="false" customHeight="true" outlineLevel="0" collapsed="false">
      <c r="A15" s="9" t="s">
        <v>245</v>
      </c>
      <c r="B15" s="4" t="s">
        <v>160</v>
      </c>
      <c r="C15" s="6" t="s">
        <v>246</v>
      </c>
      <c r="D15" s="4" t="s">
        <v>247</v>
      </c>
      <c r="E15" s="9" t="s">
        <v>172</v>
      </c>
      <c r="F15" s="4" t="s">
        <v>248</v>
      </c>
      <c r="G15" s="20" t="s">
        <v>42</v>
      </c>
      <c r="H15" s="4" t="s">
        <v>249</v>
      </c>
      <c r="I15" s="4" t="s">
        <v>250</v>
      </c>
      <c r="J15" s="9"/>
      <c r="K15" s="4" t="s">
        <v>140</v>
      </c>
    </row>
    <row r="16" customFormat="false" ht="78" hidden="false" customHeight="true" outlineLevel="0" collapsed="false">
      <c r="A16" s="9" t="s">
        <v>251</v>
      </c>
      <c r="B16" s="4" t="s">
        <v>160</v>
      </c>
      <c r="C16" s="6" t="s">
        <v>252</v>
      </c>
      <c r="D16" s="4" t="s">
        <v>253</v>
      </c>
      <c r="E16" s="9" t="s">
        <v>219</v>
      </c>
      <c r="F16" s="4" t="s">
        <v>254</v>
      </c>
      <c r="G16" s="20" t="s">
        <v>36</v>
      </c>
      <c r="H16" s="4" t="s">
        <v>255</v>
      </c>
      <c r="I16" s="4" t="s">
        <v>256</v>
      </c>
      <c r="J16" s="9" t="s">
        <v>214</v>
      </c>
      <c r="K16" s="4" t="s">
        <v>257</v>
      </c>
    </row>
    <row r="17" customFormat="false" ht="78" hidden="false" customHeight="true" outlineLevel="0" collapsed="false">
      <c r="A17" s="9" t="s">
        <v>258</v>
      </c>
      <c r="B17" s="4" t="s">
        <v>160</v>
      </c>
      <c r="C17" s="6" t="s">
        <v>259</v>
      </c>
      <c r="D17" s="4" t="s">
        <v>260</v>
      </c>
      <c r="E17" s="9" t="s">
        <v>219</v>
      </c>
      <c r="F17" s="4" t="s">
        <v>261</v>
      </c>
      <c r="G17" s="20" t="s">
        <v>38</v>
      </c>
      <c r="H17" s="4" t="s">
        <v>262</v>
      </c>
      <c r="I17" s="4" t="s">
        <v>263</v>
      </c>
      <c r="J17" s="9" t="s">
        <v>214</v>
      </c>
      <c r="K17" s="4" t="s">
        <v>264</v>
      </c>
    </row>
    <row r="18" customFormat="false" ht="78" hidden="false" customHeight="true" outlineLevel="0" collapsed="false">
      <c r="A18" s="9" t="s">
        <v>265</v>
      </c>
      <c r="B18" s="4" t="s">
        <v>160</v>
      </c>
      <c r="C18" s="6" t="s">
        <v>266</v>
      </c>
      <c r="D18" s="4" t="s">
        <v>267</v>
      </c>
      <c r="E18" s="9" t="s">
        <v>163</v>
      </c>
      <c r="F18" s="4" t="s">
        <v>268</v>
      </c>
      <c r="G18" s="20" t="s">
        <v>38</v>
      </c>
      <c r="H18" s="4" t="s">
        <v>269</v>
      </c>
      <c r="I18" s="4" t="s">
        <v>270</v>
      </c>
      <c r="J18" s="9" t="s">
        <v>190</v>
      </c>
      <c r="K18" s="4" t="s">
        <v>271</v>
      </c>
    </row>
    <row r="19" customFormat="false" ht="78" hidden="false" customHeight="true" outlineLevel="0" collapsed="false">
      <c r="A19" s="9" t="s">
        <v>272</v>
      </c>
      <c r="B19" s="4" t="s">
        <v>160</v>
      </c>
      <c r="C19" s="6" t="s">
        <v>273</v>
      </c>
      <c r="D19" s="4" t="s">
        <v>274</v>
      </c>
      <c r="E19" s="9" t="s">
        <v>219</v>
      </c>
      <c r="F19" s="4" t="s">
        <v>275</v>
      </c>
      <c r="G19" s="20" t="s">
        <v>38</v>
      </c>
      <c r="H19" s="4" t="s">
        <v>276</v>
      </c>
      <c r="I19" s="4" t="s">
        <v>277</v>
      </c>
      <c r="J19" s="9" t="s">
        <v>190</v>
      </c>
      <c r="K19" s="4" t="s">
        <v>278</v>
      </c>
    </row>
    <row r="20" customFormat="false" ht="78" hidden="false" customHeight="true" outlineLevel="0" collapsed="false">
      <c r="A20" s="9" t="s">
        <v>279</v>
      </c>
      <c r="B20" s="4" t="s">
        <v>160</v>
      </c>
      <c r="C20" s="6" t="s">
        <v>280</v>
      </c>
      <c r="D20" s="4" t="s">
        <v>281</v>
      </c>
      <c r="E20" s="9" t="s">
        <v>219</v>
      </c>
      <c r="F20" s="4" t="s">
        <v>282</v>
      </c>
      <c r="G20" s="20" t="s">
        <v>36</v>
      </c>
      <c r="H20" s="4" t="s">
        <v>283</v>
      </c>
      <c r="I20" s="4" t="s">
        <v>284</v>
      </c>
      <c r="J20" s="9" t="s">
        <v>285</v>
      </c>
      <c r="K20" s="4" t="s">
        <v>286</v>
      </c>
    </row>
    <row r="21" customFormat="false" ht="78" hidden="false" customHeight="true" outlineLevel="0" collapsed="false">
      <c r="A21" s="9" t="s">
        <v>287</v>
      </c>
      <c r="B21" s="4" t="s">
        <v>160</v>
      </c>
      <c r="C21" s="6" t="s">
        <v>288</v>
      </c>
      <c r="D21" s="4" t="s">
        <v>289</v>
      </c>
      <c r="E21" s="9" t="s">
        <v>219</v>
      </c>
      <c r="F21" s="4" t="s">
        <v>290</v>
      </c>
      <c r="G21" s="20" t="s">
        <v>38</v>
      </c>
      <c r="H21" s="4" t="s">
        <v>291</v>
      </c>
      <c r="I21" s="4" t="s">
        <v>292</v>
      </c>
      <c r="J21" s="9" t="s">
        <v>293</v>
      </c>
      <c r="K21" s="4" t="s">
        <v>294</v>
      </c>
    </row>
    <row r="22" customFormat="false" ht="78" hidden="false" customHeight="true" outlineLevel="0" collapsed="false">
      <c r="A22" s="9" t="s">
        <v>295</v>
      </c>
      <c r="B22" s="4" t="s">
        <v>160</v>
      </c>
      <c r="C22" s="6" t="s">
        <v>296</v>
      </c>
      <c r="D22" s="4" t="s">
        <v>297</v>
      </c>
      <c r="E22" s="9" t="s">
        <v>219</v>
      </c>
      <c r="F22" s="4" t="s">
        <v>298</v>
      </c>
      <c r="G22" s="20" t="s">
        <v>36</v>
      </c>
      <c r="H22" s="4" t="s">
        <v>299</v>
      </c>
      <c r="I22" s="4" t="s">
        <v>300</v>
      </c>
      <c r="J22" s="9" t="s">
        <v>293</v>
      </c>
      <c r="K22" s="4" t="s">
        <v>301</v>
      </c>
    </row>
    <row r="23" customFormat="false" ht="78" hidden="false" customHeight="true" outlineLevel="0" collapsed="false">
      <c r="A23" s="9" t="s">
        <v>302</v>
      </c>
      <c r="B23" s="4" t="s">
        <v>160</v>
      </c>
      <c r="C23" s="6" t="s">
        <v>303</v>
      </c>
      <c r="D23" s="4" t="s">
        <v>304</v>
      </c>
      <c r="E23" s="9" t="s">
        <v>163</v>
      </c>
      <c r="F23" s="4" t="s">
        <v>305</v>
      </c>
      <c r="G23" s="20" t="s">
        <v>38</v>
      </c>
      <c r="H23" s="4" t="s">
        <v>306</v>
      </c>
      <c r="I23" s="4" t="s">
        <v>307</v>
      </c>
      <c r="J23" s="9" t="s">
        <v>190</v>
      </c>
      <c r="K23" s="4" t="s">
        <v>308</v>
      </c>
    </row>
    <row r="24" customFormat="false" ht="78" hidden="false" customHeight="true" outlineLevel="0" collapsed="false">
      <c r="A24" s="9" t="s">
        <v>309</v>
      </c>
      <c r="B24" s="4" t="s">
        <v>160</v>
      </c>
      <c r="C24" s="6" t="s">
        <v>310</v>
      </c>
      <c r="D24" s="4" t="s">
        <v>311</v>
      </c>
      <c r="E24" s="9" t="s">
        <v>172</v>
      </c>
      <c r="F24" s="4" t="s">
        <v>312</v>
      </c>
      <c r="G24" s="20" t="s">
        <v>38</v>
      </c>
      <c r="H24" s="4" t="s">
        <v>313</v>
      </c>
      <c r="I24" s="4" t="s">
        <v>314</v>
      </c>
      <c r="J24" s="9" t="s">
        <v>190</v>
      </c>
      <c r="K24" s="4" t="s">
        <v>315</v>
      </c>
    </row>
    <row r="25" customFormat="false" ht="78" hidden="false" customHeight="true" outlineLevel="0" collapsed="false">
      <c r="A25" s="9" t="s">
        <v>316</v>
      </c>
      <c r="B25" s="4" t="s">
        <v>160</v>
      </c>
      <c r="C25" s="6" t="s">
        <v>317</v>
      </c>
      <c r="D25" s="4" t="s">
        <v>318</v>
      </c>
      <c r="E25" s="9" t="s">
        <v>163</v>
      </c>
      <c r="F25" s="4" t="s">
        <v>319</v>
      </c>
      <c r="G25" s="20" t="s">
        <v>36</v>
      </c>
      <c r="H25" s="4" t="s">
        <v>320</v>
      </c>
      <c r="I25" s="4" t="s">
        <v>321</v>
      </c>
      <c r="J25" s="9" t="s">
        <v>322</v>
      </c>
      <c r="K25" s="4" t="s">
        <v>323</v>
      </c>
    </row>
    <row r="26" customFormat="false" ht="78" hidden="false" customHeight="true" outlineLevel="0" collapsed="false">
      <c r="A26" s="9" t="s">
        <v>324</v>
      </c>
      <c r="B26" s="4" t="s">
        <v>160</v>
      </c>
      <c r="C26" s="6" t="s">
        <v>325</v>
      </c>
      <c r="D26" s="4" t="s">
        <v>326</v>
      </c>
      <c r="E26" s="9" t="s">
        <v>172</v>
      </c>
      <c r="F26" s="4" t="s">
        <v>327</v>
      </c>
      <c r="G26" s="20" t="s">
        <v>36</v>
      </c>
      <c r="H26" s="4" t="s">
        <v>328</v>
      </c>
      <c r="I26" s="4" t="s">
        <v>329</v>
      </c>
      <c r="J26" s="9" t="s">
        <v>322</v>
      </c>
      <c r="K26" s="4" t="s">
        <v>330</v>
      </c>
    </row>
    <row r="27" customFormat="false" ht="78" hidden="false" customHeight="true" outlineLevel="0" collapsed="false">
      <c r="A27" s="9" t="s">
        <v>331</v>
      </c>
      <c r="B27" s="4" t="s">
        <v>160</v>
      </c>
      <c r="C27" s="6" t="s">
        <v>332</v>
      </c>
      <c r="D27" s="4" t="s">
        <v>333</v>
      </c>
      <c r="E27" s="9" t="s">
        <v>172</v>
      </c>
      <c r="F27" s="4" t="s">
        <v>334</v>
      </c>
      <c r="G27" s="20" t="s">
        <v>38</v>
      </c>
      <c r="H27" s="4" t="s">
        <v>335</v>
      </c>
      <c r="I27" s="4" t="s">
        <v>336</v>
      </c>
      <c r="J27" s="9" t="s">
        <v>322</v>
      </c>
      <c r="K27" s="4" t="s">
        <v>337</v>
      </c>
    </row>
    <row r="28" customFormat="false" ht="78" hidden="false" customHeight="true" outlineLevel="0" collapsed="false">
      <c r="A28" s="9" t="s">
        <v>338</v>
      </c>
      <c r="B28" s="4" t="s">
        <v>160</v>
      </c>
      <c r="C28" s="6" t="s">
        <v>339</v>
      </c>
      <c r="D28" s="4" t="s">
        <v>340</v>
      </c>
      <c r="E28" s="9" t="s">
        <v>172</v>
      </c>
      <c r="F28" s="4" t="s">
        <v>341</v>
      </c>
      <c r="G28" s="20" t="s">
        <v>38</v>
      </c>
      <c r="H28" s="4" t="s">
        <v>342</v>
      </c>
      <c r="I28" s="4" t="s">
        <v>343</v>
      </c>
      <c r="J28" s="9" t="s">
        <v>322</v>
      </c>
      <c r="K28" s="4" t="s">
        <v>344</v>
      </c>
    </row>
    <row r="29" customFormat="false" ht="78" hidden="false" customHeight="true" outlineLevel="0" collapsed="false">
      <c r="A29" s="9" t="s">
        <v>345</v>
      </c>
      <c r="B29" s="4" t="s">
        <v>160</v>
      </c>
      <c r="C29" s="6" t="s">
        <v>346</v>
      </c>
      <c r="D29" s="4" t="s">
        <v>347</v>
      </c>
      <c r="E29" s="9" t="s">
        <v>219</v>
      </c>
      <c r="F29" s="4" t="s">
        <v>348</v>
      </c>
      <c r="G29" s="20" t="s">
        <v>38</v>
      </c>
      <c r="H29" s="4" t="s">
        <v>349</v>
      </c>
      <c r="I29" s="4" t="s">
        <v>350</v>
      </c>
      <c r="J29" s="9" t="s">
        <v>322</v>
      </c>
      <c r="K29" s="4" t="s">
        <v>351</v>
      </c>
    </row>
    <row r="30" customFormat="false" ht="78" hidden="false" customHeight="true" outlineLevel="0" collapsed="false">
      <c r="A30" s="9" t="s">
        <v>352</v>
      </c>
      <c r="B30" s="4" t="s">
        <v>160</v>
      </c>
      <c r="C30" s="6" t="s">
        <v>353</v>
      </c>
      <c r="D30" s="4" t="s">
        <v>354</v>
      </c>
      <c r="E30" s="9" t="s">
        <v>219</v>
      </c>
      <c r="F30" s="4" t="s">
        <v>355</v>
      </c>
      <c r="G30" s="20" t="s">
        <v>38</v>
      </c>
      <c r="H30" s="4" t="s">
        <v>356</v>
      </c>
      <c r="I30" s="4" t="s">
        <v>357</v>
      </c>
      <c r="J30" s="9" t="s">
        <v>322</v>
      </c>
      <c r="K30" s="4" t="s">
        <v>358</v>
      </c>
    </row>
    <row r="31" customFormat="false" ht="78" hidden="false" customHeight="true" outlineLevel="0" collapsed="false">
      <c r="A31" s="9" t="s">
        <v>359</v>
      </c>
      <c r="B31" s="4" t="s">
        <v>160</v>
      </c>
      <c r="C31" s="6" t="s">
        <v>360</v>
      </c>
      <c r="D31" s="4" t="s">
        <v>361</v>
      </c>
      <c r="E31" s="9" t="s">
        <v>203</v>
      </c>
      <c r="F31" s="4" t="s">
        <v>362</v>
      </c>
      <c r="G31" s="20" t="s">
        <v>38</v>
      </c>
      <c r="H31" s="4" t="s">
        <v>363</v>
      </c>
      <c r="I31" s="4" t="s">
        <v>364</v>
      </c>
      <c r="J31" s="9" t="s">
        <v>365</v>
      </c>
      <c r="K31" s="4" t="s">
        <v>366</v>
      </c>
    </row>
    <row r="32" customFormat="false" ht="78" hidden="false" customHeight="true" outlineLevel="0" collapsed="false">
      <c r="A32" s="9" t="s">
        <v>367</v>
      </c>
      <c r="B32" s="4" t="s">
        <v>160</v>
      </c>
      <c r="C32" s="6" t="s">
        <v>368</v>
      </c>
      <c r="D32" s="4" t="s">
        <v>369</v>
      </c>
      <c r="E32" s="9" t="s">
        <v>163</v>
      </c>
      <c r="F32" s="4" t="s">
        <v>370</v>
      </c>
      <c r="G32" s="20" t="s">
        <v>36</v>
      </c>
      <c r="H32" s="4" t="s">
        <v>371</v>
      </c>
      <c r="I32" s="4" t="s">
        <v>372</v>
      </c>
      <c r="J32" s="9" t="s">
        <v>373</v>
      </c>
      <c r="K32" s="4" t="s">
        <v>374</v>
      </c>
    </row>
    <row r="33" customFormat="false" ht="78" hidden="false" customHeight="true" outlineLevel="0" collapsed="false">
      <c r="A33" s="9" t="s">
        <v>375</v>
      </c>
      <c r="B33" s="4" t="s">
        <v>160</v>
      </c>
      <c r="C33" s="6" t="s">
        <v>376</v>
      </c>
      <c r="D33" s="4" t="s">
        <v>377</v>
      </c>
      <c r="E33" s="9" t="s">
        <v>172</v>
      </c>
      <c r="F33" s="4" t="s">
        <v>378</v>
      </c>
      <c r="G33" s="20" t="s">
        <v>36</v>
      </c>
      <c r="H33" s="4" t="s">
        <v>379</v>
      </c>
      <c r="I33" s="4" t="s">
        <v>380</v>
      </c>
      <c r="J33" s="9" t="s">
        <v>373</v>
      </c>
      <c r="K33" s="4" t="s">
        <v>381</v>
      </c>
    </row>
    <row r="34" customFormat="false" ht="78" hidden="false" customHeight="true" outlineLevel="0" collapsed="false">
      <c r="A34" s="9" t="s">
        <v>382</v>
      </c>
      <c r="B34" s="4" t="s">
        <v>383</v>
      </c>
      <c r="C34" s="6" t="s">
        <v>384</v>
      </c>
      <c r="D34" s="4" t="s">
        <v>385</v>
      </c>
      <c r="E34" s="9" t="s">
        <v>163</v>
      </c>
      <c r="F34" s="4" t="s">
        <v>386</v>
      </c>
      <c r="G34" s="20" t="s">
        <v>36</v>
      </c>
      <c r="H34" s="4" t="s">
        <v>387</v>
      </c>
      <c r="I34" s="4" t="s">
        <v>388</v>
      </c>
      <c r="J34" s="9" t="s">
        <v>389</v>
      </c>
      <c r="K34" s="4" t="s">
        <v>390</v>
      </c>
    </row>
    <row r="35" customFormat="false" ht="78" hidden="false" customHeight="true" outlineLevel="0" collapsed="false">
      <c r="A35" s="9" t="s">
        <v>391</v>
      </c>
      <c r="B35" s="4" t="s">
        <v>383</v>
      </c>
      <c r="C35" s="6" t="s">
        <v>392</v>
      </c>
      <c r="D35" s="4" t="s">
        <v>393</v>
      </c>
      <c r="E35" s="9" t="s">
        <v>219</v>
      </c>
      <c r="F35" s="4" t="s">
        <v>394</v>
      </c>
      <c r="G35" s="20" t="s">
        <v>38</v>
      </c>
      <c r="H35" s="4" t="s">
        <v>395</v>
      </c>
      <c r="I35" s="4" t="s">
        <v>396</v>
      </c>
      <c r="J35" s="9" t="s">
        <v>322</v>
      </c>
      <c r="K35" s="4" t="s">
        <v>397</v>
      </c>
    </row>
    <row r="36" customFormat="false" ht="78" hidden="false" customHeight="true" outlineLevel="0" collapsed="false">
      <c r="A36" s="9" t="s">
        <v>398</v>
      </c>
      <c r="B36" s="4" t="s">
        <v>383</v>
      </c>
      <c r="C36" s="6" t="s">
        <v>399</v>
      </c>
      <c r="D36" s="4" t="s">
        <v>400</v>
      </c>
      <c r="E36" s="9" t="s">
        <v>219</v>
      </c>
      <c r="F36" s="4" t="s">
        <v>401</v>
      </c>
      <c r="G36" s="20" t="s">
        <v>38</v>
      </c>
      <c r="H36" s="4" t="s">
        <v>402</v>
      </c>
      <c r="I36" s="4" t="s">
        <v>403</v>
      </c>
      <c r="J36" s="9" t="s">
        <v>389</v>
      </c>
      <c r="K36" s="4" t="s">
        <v>404</v>
      </c>
    </row>
    <row r="37" customFormat="false" ht="78" hidden="false" customHeight="true" outlineLevel="0" collapsed="false">
      <c r="A37" s="9" t="s">
        <v>405</v>
      </c>
      <c r="B37" s="4" t="s">
        <v>383</v>
      </c>
      <c r="C37" s="6" t="s">
        <v>406</v>
      </c>
      <c r="D37" s="4" t="s">
        <v>407</v>
      </c>
      <c r="E37" s="9" t="s">
        <v>219</v>
      </c>
      <c r="F37" s="4" t="s">
        <v>408</v>
      </c>
      <c r="G37" s="20" t="s">
        <v>38</v>
      </c>
      <c r="H37" s="4" t="s">
        <v>409</v>
      </c>
      <c r="I37" s="4" t="s">
        <v>410</v>
      </c>
      <c r="J37" s="9" t="s">
        <v>389</v>
      </c>
      <c r="K37" s="4" t="s">
        <v>411</v>
      </c>
    </row>
    <row r="38" customFormat="false" ht="78" hidden="false" customHeight="true" outlineLevel="0" collapsed="false">
      <c r="A38" s="9" t="s">
        <v>412</v>
      </c>
      <c r="B38" s="4" t="s">
        <v>383</v>
      </c>
      <c r="C38" s="6" t="s">
        <v>413</v>
      </c>
      <c r="D38" s="4" t="s">
        <v>414</v>
      </c>
      <c r="E38" s="9" t="s">
        <v>219</v>
      </c>
      <c r="F38" s="4" t="s">
        <v>415</v>
      </c>
      <c r="G38" s="20" t="s">
        <v>38</v>
      </c>
      <c r="H38" s="4" t="s">
        <v>416</v>
      </c>
      <c r="I38" s="4" t="s">
        <v>417</v>
      </c>
      <c r="J38" s="9" t="s">
        <v>389</v>
      </c>
      <c r="K38" s="4" t="s">
        <v>418</v>
      </c>
    </row>
    <row r="39" customFormat="false" ht="78" hidden="false" customHeight="true" outlineLevel="0" collapsed="false">
      <c r="A39" s="9" t="s">
        <v>419</v>
      </c>
      <c r="B39" s="4" t="s">
        <v>383</v>
      </c>
      <c r="C39" s="6" t="s">
        <v>420</v>
      </c>
      <c r="D39" s="4" t="s">
        <v>421</v>
      </c>
      <c r="E39" s="9" t="s">
        <v>203</v>
      </c>
      <c r="F39" s="4" t="s">
        <v>422</v>
      </c>
      <c r="G39" s="20" t="s">
        <v>38</v>
      </c>
      <c r="H39" s="4" t="s">
        <v>423</v>
      </c>
      <c r="I39" s="4" t="s">
        <v>424</v>
      </c>
      <c r="J39" s="9" t="s">
        <v>425</v>
      </c>
      <c r="K39" s="4" t="s">
        <v>426</v>
      </c>
    </row>
    <row r="40" customFormat="false" ht="78" hidden="false" customHeight="true" outlineLevel="0" collapsed="false">
      <c r="A40" s="9" t="s">
        <v>427</v>
      </c>
      <c r="B40" s="4" t="s">
        <v>383</v>
      </c>
      <c r="C40" s="6" t="s">
        <v>428</v>
      </c>
      <c r="D40" s="4" t="s">
        <v>429</v>
      </c>
      <c r="E40" s="9" t="s">
        <v>203</v>
      </c>
      <c r="F40" s="4" t="s">
        <v>430</v>
      </c>
      <c r="G40" s="20" t="s">
        <v>36</v>
      </c>
      <c r="H40" s="4" t="s">
        <v>431</v>
      </c>
      <c r="I40" s="4" t="s">
        <v>432</v>
      </c>
      <c r="J40" s="9" t="s">
        <v>425</v>
      </c>
      <c r="K40" s="4" t="s">
        <v>433</v>
      </c>
    </row>
    <row r="41" customFormat="false" ht="78" hidden="false" customHeight="true" outlineLevel="0" collapsed="false">
      <c r="A41" s="9" t="s">
        <v>434</v>
      </c>
      <c r="B41" s="4" t="s">
        <v>383</v>
      </c>
      <c r="C41" s="6" t="s">
        <v>435</v>
      </c>
      <c r="D41" s="4" t="s">
        <v>436</v>
      </c>
      <c r="E41" s="9" t="s">
        <v>163</v>
      </c>
      <c r="F41" s="4" t="s">
        <v>437</v>
      </c>
      <c r="G41" s="20" t="s">
        <v>38</v>
      </c>
      <c r="H41" s="4" t="s">
        <v>438</v>
      </c>
      <c r="I41" s="4" t="s">
        <v>439</v>
      </c>
      <c r="J41" s="9" t="s">
        <v>440</v>
      </c>
      <c r="K41" s="4" t="s">
        <v>441</v>
      </c>
    </row>
    <row r="42" customFormat="false" ht="78" hidden="false" customHeight="true" outlineLevel="0" collapsed="false">
      <c r="A42" s="9" t="s">
        <v>442</v>
      </c>
      <c r="B42" s="4" t="s">
        <v>383</v>
      </c>
      <c r="C42" s="6" t="s">
        <v>443</v>
      </c>
      <c r="D42" s="4" t="s">
        <v>444</v>
      </c>
      <c r="E42" s="9" t="s">
        <v>172</v>
      </c>
      <c r="F42" s="4" t="s">
        <v>445</v>
      </c>
      <c r="G42" s="20" t="s">
        <v>36</v>
      </c>
      <c r="H42" s="4" t="s">
        <v>446</v>
      </c>
      <c r="I42" s="4" t="s">
        <v>447</v>
      </c>
      <c r="J42" s="9" t="s">
        <v>440</v>
      </c>
      <c r="K42" s="4" t="s">
        <v>448</v>
      </c>
    </row>
    <row r="43" customFormat="false" ht="78" hidden="false" customHeight="true" outlineLevel="0" collapsed="false">
      <c r="A43" s="9" t="s">
        <v>449</v>
      </c>
      <c r="B43" s="4" t="s">
        <v>383</v>
      </c>
      <c r="C43" s="6" t="s">
        <v>450</v>
      </c>
      <c r="D43" s="4" t="s">
        <v>451</v>
      </c>
      <c r="E43" s="9" t="s">
        <v>172</v>
      </c>
      <c r="F43" s="4" t="s">
        <v>452</v>
      </c>
      <c r="G43" s="20" t="s">
        <v>38</v>
      </c>
      <c r="H43" s="4" t="s">
        <v>453</v>
      </c>
      <c r="I43" s="4" t="s">
        <v>454</v>
      </c>
      <c r="J43" s="9" t="s">
        <v>440</v>
      </c>
      <c r="K43" s="4" t="s">
        <v>448</v>
      </c>
    </row>
    <row r="44" customFormat="false" ht="78" hidden="false" customHeight="true" outlineLevel="0" collapsed="false">
      <c r="A44" s="9" t="s">
        <v>455</v>
      </c>
      <c r="B44" s="4" t="s">
        <v>383</v>
      </c>
      <c r="C44" s="6" t="s">
        <v>456</v>
      </c>
      <c r="D44" s="4" t="s">
        <v>457</v>
      </c>
      <c r="E44" s="9" t="s">
        <v>219</v>
      </c>
      <c r="F44" s="4" t="s">
        <v>458</v>
      </c>
      <c r="G44" s="20" t="s">
        <v>38</v>
      </c>
      <c r="H44" s="4" t="s">
        <v>459</v>
      </c>
      <c r="I44" s="4" t="s">
        <v>460</v>
      </c>
      <c r="J44" s="9" t="s">
        <v>440</v>
      </c>
      <c r="K44" s="4" t="s">
        <v>461</v>
      </c>
    </row>
    <row r="45" customFormat="false" ht="78" hidden="false" customHeight="true" outlineLevel="0" collapsed="false">
      <c r="A45" s="9" t="s">
        <v>462</v>
      </c>
      <c r="B45" s="4" t="s">
        <v>383</v>
      </c>
      <c r="C45" s="6" t="s">
        <v>463</v>
      </c>
      <c r="D45" s="4" t="s">
        <v>464</v>
      </c>
      <c r="E45" s="9" t="s">
        <v>219</v>
      </c>
      <c r="F45" s="4" t="s">
        <v>465</v>
      </c>
      <c r="G45" s="20" t="s">
        <v>38</v>
      </c>
      <c r="H45" s="4" t="s">
        <v>466</v>
      </c>
      <c r="I45" s="4" t="s">
        <v>467</v>
      </c>
      <c r="J45" s="9" t="s">
        <v>440</v>
      </c>
      <c r="K45" s="4" t="s">
        <v>468</v>
      </c>
    </row>
    <row r="46" customFormat="false" ht="78" hidden="false" customHeight="true" outlineLevel="0" collapsed="false">
      <c r="A46" s="9" t="s">
        <v>469</v>
      </c>
      <c r="B46" s="4" t="s">
        <v>470</v>
      </c>
      <c r="C46" s="6" t="s">
        <v>471</v>
      </c>
      <c r="D46" s="4" t="s">
        <v>472</v>
      </c>
      <c r="E46" s="9" t="s">
        <v>163</v>
      </c>
      <c r="F46" s="4" t="s">
        <v>473</v>
      </c>
      <c r="G46" s="20" t="s">
        <v>36</v>
      </c>
      <c r="H46" s="4" t="s">
        <v>474</v>
      </c>
      <c r="I46" s="4" t="s">
        <v>475</v>
      </c>
      <c r="J46" s="9" t="s">
        <v>293</v>
      </c>
      <c r="K46" s="4" t="s">
        <v>257</v>
      </c>
    </row>
    <row r="47" customFormat="false" ht="78" hidden="false" customHeight="true" outlineLevel="0" collapsed="false">
      <c r="A47" s="9" t="s">
        <v>476</v>
      </c>
      <c r="B47" s="4" t="s">
        <v>470</v>
      </c>
      <c r="C47" s="6" t="s">
        <v>477</v>
      </c>
      <c r="D47" s="4" t="s">
        <v>478</v>
      </c>
      <c r="E47" s="9" t="s">
        <v>172</v>
      </c>
      <c r="F47" s="4" t="s">
        <v>479</v>
      </c>
      <c r="G47" s="20" t="s">
        <v>36</v>
      </c>
      <c r="H47" s="4" t="s">
        <v>480</v>
      </c>
      <c r="I47" s="4" t="s">
        <v>481</v>
      </c>
      <c r="J47" s="9" t="s">
        <v>198</v>
      </c>
      <c r="K47" s="4" t="s">
        <v>482</v>
      </c>
    </row>
    <row r="48" customFormat="false" ht="78" hidden="false" customHeight="true" outlineLevel="0" collapsed="false">
      <c r="A48" s="9" t="s">
        <v>483</v>
      </c>
      <c r="B48" s="4" t="s">
        <v>470</v>
      </c>
      <c r="C48" s="6" t="s">
        <v>484</v>
      </c>
      <c r="D48" s="4" t="s">
        <v>485</v>
      </c>
      <c r="E48" s="9" t="s">
        <v>172</v>
      </c>
      <c r="F48" s="4" t="s">
        <v>486</v>
      </c>
      <c r="G48" s="20" t="s">
        <v>36</v>
      </c>
      <c r="H48" s="4" t="s">
        <v>487</v>
      </c>
      <c r="I48" s="4" t="s">
        <v>488</v>
      </c>
      <c r="J48" s="9" t="s">
        <v>198</v>
      </c>
      <c r="K48" s="4" t="s">
        <v>489</v>
      </c>
    </row>
    <row r="49" customFormat="false" ht="78" hidden="false" customHeight="true" outlineLevel="0" collapsed="false">
      <c r="A49" s="9" t="s">
        <v>490</v>
      </c>
      <c r="B49" s="4" t="s">
        <v>470</v>
      </c>
      <c r="C49" s="6" t="s">
        <v>491</v>
      </c>
      <c r="D49" s="4" t="s">
        <v>492</v>
      </c>
      <c r="E49" s="9" t="s">
        <v>219</v>
      </c>
      <c r="F49" s="4" t="s">
        <v>493</v>
      </c>
      <c r="G49" s="20" t="s">
        <v>36</v>
      </c>
      <c r="H49" s="4" t="s">
        <v>494</v>
      </c>
      <c r="I49" s="4" t="s">
        <v>495</v>
      </c>
      <c r="J49" s="9" t="s">
        <v>425</v>
      </c>
      <c r="K49" s="4" t="s">
        <v>496</v>
      </c>
    </row>
    <row r="50" customFormat="false" ht="78" hidden="false" customHeight="true" outlineLevel="0" collapsed="false">
      <c r="A50" s="9" t="s">
        <v>497</v>
      </c>
      <c r="B50" s="4" t="s">
        <v>470</v>
      </c>
      <c r="C50" s="6" t="s">
        <v>498</v>
      </c>
      <c r="D50" s="4" t="s">
        <v>499</v>
      </c>
      <c r="E50" s="9" t="s">
        <v>219</v>
      </c>
      <c r="F50" s="4" t="s">
        <v>500</v>
      </c>
      <c r="G50" s="20" t="s">
        <v>36</v>
      </c>
      <c r="H50" s="4" t="s">
        <v>501</v>
      </c>
      <c r="I50" s="4" t="s">
        <v>502</v>
      </c>
      <c r="J50" s="9" t="s">
        <v>440</v>
      </c>
      <c r="K50" s="4" t="s">
        <v>503</v>
      </c>
    </row>
    <row r="51" customFormat="false" ht="78" hidden="false" customHeight="true" outlineLevel="0" collapsed="false">
      <c r="A51" s="9" t="s">
        <v>504</v>
      </c>
      <c r="B51" s="4" t="s">
        <v>470</v>
      </c>
      <c r="C51" s="6" t="s">
        <v>505</v>
      </c>
      <c r="D51" s="4" t="s">
        <v>506</v>
      </c>
      <c r="E51" s="9" t="s">
        <v>203</v>
      </c>
      <c r="F51" s="4" t="s">
        <v>507</v>
      </c>
      <c r="G51" s="20" t="s">
        <v>36</v>
      </c>
      <c r="H51" s="4" t="s">
        <v>508</v>
      </c>
      <c r="I51" s="4" t="s">
        <v>509</v>
      </c>
      <c r="J51" s="9" t="s">
        <v>198</v>
      </c>
      <c r="K51" s="4" t="s">
        <v>510</v>
      </c>
    </row>
    <row r="52" customFormat="false" ht="78" hidden="false" customHeight="true" outlineLevel="0" collapsed="false">
      <c r="A52" s="9" t="s">
        <v>511</v>
      </c>
      <c r="B52" s="4" t="s">
        <v>470</v>
      </c>
      <c r="C52" s="6" t="s">
        <v>512</v>
      </c>
      <c r="D52" s="4" t="s">
        <v>513</v>
      </c>
      <c r="E52" s="9" t="s">
        <v>163</v>
      </c>
      <c r="F52" s="4" t="s">
        <v>514</v>
      </c>
      <c r="G52" s="20" t="s">
        <v>34</v>
      </c>
      <c r="H52" s="4" t="s">
        <v>515</v>
      </c>
      <c r="I52" s="4" t="s">
        <v>516</v>
      </c>
      <c r="J52" s="9"/>
      <c r="K52" s="4" t="s">
        <v>517</v>
      </c>
    </row>
    <row r="53" customFormat="false" ht="78" hidden="false" customHeight="true" outlineLevel="0" collapsed="false">
      <c r="A53" s="9" t="s">
        <v>518</v>
      </c>
      <c r="B53" s="4" t="s">
        <v>470</v>
      </c>
      <c r="C53" s="6" t="s">
        <v>519</v>
      </c>
      <c r="D53" s="4" t="s">
        <v>520</v>
      </c>
      <c r="E53" s="9" t="s">
        <v>219</v>
      </c>
      <c r="F53" s="4" t="s">
        <v>521</v>
      </c>
      <c r="G53" s="20" t="s">
        <v>40</v>
      </c>
      <c r="H53" s="4" t="s">
        <v>522</v>
      </c>
      <c r="I53" s="4" t="s">
        <v>523</v>
      </c>
      <c r="J53" s="9" t="s">
        <v>285</v>
      </c>
      <c r="K53" s="4" t="s">
        <v>524</v>
      </c>
    </row>
    <row r="54" customFormat="false" ht="78" hidden="false" customHeight="true" outlineLevel="0" collapsed="false">
      <c r="A54" s="9" t="s">
        <v>525</v>
      </c>
      <c r="B54" s="4" t="s">
        <v>470</v>
      </c>
      <c r="C54" s="6" t="s">
        <v>526</v>
      </c>
      <c r="D54" s="4" t="s">
        <v>527</v>
      </c>
      <c r="E54" s="9" t="s">
        <v>203</v>
      </c>
      <c r="F54" s="4" t="s">
        <v>528</v>
      </c>
      <c r="G54" s="20" t="s">
        <v>38</v>
      </c>
      <c r="H54" s="4" t="s">
        <v>529</v>
      </c>
      <c r="I54" s="4" t="s">
        <v>530</v>
      </c>
      <c r="J54" s="9" t="s">
        <v>293</v>
      </c>
      <c r="K54" s="4" t="s">
        <v>531</v>
      </c>
    </row>
    <row r="55" customFormat="false" ht="78" hidden="false" customHeight="true" outlineLevel="0" collapsed="false">
      <c r="A55" s="9" t="s">
        <v>532</v>
      </c>
      <c r="B55" s="4" t="s">
        <v>470</v>
      </c>
      <c r="C55" s="6" t="s">
        <v>533</v>
      </c>
      <c r="D55" s="4" t="s">
        <v>534</v>
      </c>
      <c r="E55" s="9" t="s">
        <v>163</v>
      </c>
      <c r="F55" s="4" t="s">
        <v>535</v>
      </c>
      <c r="G55" s="20" t="s">
        <v>36</v>
      </c>
      <c r="H55" s="4" t="s">
        <v>536</v>
      </c>
      <c r="I55" s="4" t="s">
        <v>537</v>
      </c>
      <c r="J55" s="9" t="s">
        <v>538</v>
      </c>
      <c r="K55" s="4" t="s">
        <v>539</v>
      </c>
    </row>
    <row r="56" customFormat="false" ht="78" hidden="false" customHeight="true" outlineLevel="0" collapsed="false">
      <c r="A56" s="9" t="s">
        <v>540</v>
      </c>
      <c r="B56" s="4" t="s">
        <v>470</v>
      </c>
      <c r="C56" s="6" t="s">
        <v>541</v>
      </c>
      <c r="D56" s="4" t="s">
        <v>542</v>
      </c>
      <c r="E56" s="9" t="s">
        <v>219</v>
      </c>
      <c r="F56" s="4" t="s">
        <v>543</v>
      </c>
      <c r="G56" s="20" t="s">
        <v>34</v>
      </c>
      <c r="H56" s="4" t="s">
        <v>544</v>
      </c>
      <c r="I56" s="4" t="s">
        <v>545</v>
      </c>
      <c r="J56" s="9"/>
      <c r="K56" s="4" t="s">
        <v>546</v>
      </c>
    </row>
    <row r="57" customFormat="false" ht="78" hidden="false" customHeight="true" outlineLevel="0" collapsed="false">
      <c r="A57" s="9" t="s">
        <v>547</v>
      </c>
      <c r="B57" s="4" t="s">
        <v>470</v>
      </c>
      <c r="C57" s="6" t="s">
        <v>548</v>
      </c>
      <c r="D57" s="4" t="s">
        <v>549</v>
      </c>
      <c r="E57" s="9" t="s">
        <v>219</v>
      </c>
      <c r="F57" s="4" t="s">
        <v>550</v>
      </c>
      <c r="G57" s="20" t="s">
        <v>38</v>
      </c>
      <c r="H57" s="4" t="s">
        <v>551</v>
      </c>
      <c r="I57" s="4" t="s">
        <v>552</v>
      </c>
      <c r="J57" s="9" t="s">
        <v>538</v>
      </c>
      <c r="K57" s="4" t="s">
        <v>553</v>
      </c>
    </row>
    <row r="58" customFormat="false" ht="78" hidden="false" customHeight="true" outlineLevel="0" collapsed="false">
      <c r="A58" s="9" t="s">
        <v>554</v>
      </c>
      <c r="B58" s="4" t="s">
        <v>555</v>
      </c>
      <c r="C58" s="6" t="s">
        <v>556</v>
      </c>
      <c r="D58" s="4" t="s">
        <v>557</v>
      </c>
      <c r="E58" s="9" t="s">
        <v>163</v>
      </c>
      <c r="F58" s="4" t="s">
        <v>558</v>
      </c>
      <c r="G58" s="20" t="s">
        <v>36</v>
      </c>
      <c r="H58" s="4" t="s">
        <v>559</v>
      </c>
      <c r="I58" s="4" t="s">
        <v>560</v>
      </c>
      <c r="J58" s="9" t="s">
        <v>373</v>
      </c>
      <c r="K58" s="4" t="s">
        <v>381</v>
      </c>
    </row>
    <row r="59" customFormat="false" ht="78" hidden="false" customHeight="true" outlineLevel="0" collapsed="false">
      <c r="A59" s="9" t="s">
        <v>561</v>
      </c>
      <c r="B59" s="4" t="s">
        <v>555</v>
      </c>
      <c r="C59" s="6" t="s">
        <v>562</v>
      </c>
      <c r="D59" s="4" t="s">
        <v>563</v>
      </c>
      <c r="E59" s="9" t="s">
        <v>172</v>
      </c>
      <c r="F59" s="4" t="s">
        <v>564</v>
      </c>
      <c r="G59" s="20" t="s">
        <v>36</v>
      </c>
      <c r="H59" s="4" t="s">
        <v>565</v>
      </c>
      <c r="I59" s="4" t="s">
        <v>566</v>
      </c>
      <c r="J59" s="9" t="s">
        <v>373</v>
      </c>
      <c r="K59" s="4" t="s">
        <v>567</v>
      </c>
    </row>
    <row r="60" customFormat="false" ht="78" hidden="false" customHeight="true" outlineLevel="0" collapsed="false">
      <c r="A60" s="9" t="s">
        <v>568</v>
      </c>
      <c r="B60" s="4" t="s">
        <v>555</v>
      </c>
      <c r="C60" s="6" t="s">
        <v>569</v>
      </c>
      <c r="D60" s="4" t="s">
        <v>570</v>
      </c>
      <c r="E60" s="9" t="s">
        <v>172</v>
      </c>
      <c r="F60" s="4" t="s">
        <v>571</v>
      </c>
      <c r="G60" s="20" t="s">
        <v>42</v>
      </c>
      <c r="H60" s="4" t="s">
        <v>572</v>
      </c>
      <c r="I60" s="4" t="s">
        <v>573</v>
      </c>
      <c r="J60" s="9"/>
      <c r="K60" s="4" t="s">
        <v>140</v>
      </c>
    </row>
    <row r="61" customFormat="false" ht="78" hidden="false" customHeight="true" outlineLevel="0" collapsed="false">
      <c r="A61" s="9" t="s">
        <v>574</v>
      </c>
      <c r="B61" s="4" t="s">
        <v>555</v>
      </c>
      <c r="C61" s="6" t="s">
        <v>575</v>
      </c>
      <c r="D61" s="4" t="s">
        <v>576</v>
      </c>
      <c r="E61" s="9" t="s">
        <v>172</v>
      </c>
      <c r="F61" s="4" t="s">
        <v>577</v>
      </c>
      <c r="G61" s="20" t="s">
        <v>42</v>
      </c>
      <c r="H61" s="4" t="s">
        <v>578</v>
      </c>
      <c r="I61" s="4" t="s">
        <v>579</v>
      </c>
      <c r="J61" s="9" t="s">
        <v>373</v>
      </c>
      <c r="K61" s="4" t="s">
        <v>140</v>
      </c>
    </row>
    <row r="62" customFormat="false" ht="78" hidden="false" customHeight="true" outlineLevel="0" collapsed="false">
      <c r="A62" s="9" t="s">
        <v>580</v>
      </c>
      <c r="B62" s="4" t="s">
        <v>555</v>
      </c>
      <c r="C62" s="6" t="s">
        <v>581</v>
      </c>
      <c r="D62" s="4" t="s">
        <v>582</v>
      </c>
      <c r="E62" s="9" t="s">
        <v>163</v>
      </c>
      <c r="F62" s="4" t="s">
        <v>583</v>
      </c>
      <c r="G62" s="20" t="s">
        <v>42</v>
      </c>
      <c r="H62" s="4" t="s">
        <v>584</v>
      </c>
      <c r="I62" s="4" t="s">
        <v>585</v>
      </c>
      <c r="J62" s="9"/>
      <c r="K62" s="4" t="s">
        <v>140</v>
      </c>
    </row>
    <row r="63" customFormat="false" ht="78" hidden="false" customHeight="true" outlineLevel="0" collapsed="false">
      <c r="A63" s="9" t="s">
        <v>586</v>
      </c>
      <c r="B63" s="4" t="s">
        <v>555</v>
      </c>
      <c r="C63" s="6" t="s">
        <v>587</v>
      </c>
      <c r="D63" s="4" t="s">
        <v>588</v>
      </c>
      <c r="E63" s="9" t="s">
        <v>172</v>
      </c>
      <c r="F63" s="4" t="s">
        <v>589</v>
      </c>
      <c r="G63" s="20" t="s">
        <v>42</v>
      </c>
      <c r="H63" s="4" t="s">
        <v>590</v>
      </c>
      <c r="I63" s="4" t="s">
        <v>591</v>
      </c>
      <c r="J63" s="9"/>
      <c r="K63" s="4" t="s">
        <v>140</v>
      </c>
    </row>
    <row r="64" customFormat="false" ht="78" hidden="false" customHeight="true" outlineLevel="0" collapsed="false">
      <c r="A64" s="9" t="s">
        <v>592</v>
      </c>
      <c r="B64" s="4" t="s">
        <v>593</v>
      </c>
      <c r="C64" s="6" t="s">
        <v>594</v>
      </c>
      <c r="D64" s="4" t="s">
        <v>595</v>
      </c>
      <c r="E64" s="9" t="s">
        <v>163</v>
      </c>
      <c r="F64" s="4" t="s">
        <v>596</v>
      </c>
      <c r="G64" s="20" t="s">
        <v>38</v>
      </c>
      <c r="H64" s="4" t="s">
        <v>597</v>
      </c>
      <c r="I64" s="4" t="s">
        <v>598</v>
      </c>
      <c r="J64" s="9" t="s">
        <v>167</v>
      </c>
      <c r="K64" s="4" t="s">
        <v>599</v>
      </c>
    </row>
    <row r="65" customFormat="false" ht="78" hidden="false" customHeight="true" outlineLevel="0" collapsed="false">
      <c r="A65" s="9" t="s">
        <v>600</v>
      </c>
      <c r="B65" s="4" t="s">
        <v>593</v>
      </c>
      <c r="C65" s="6" t="s">
        <v>601</v>
      </c>
      <c r="D65" s="4" t="s">
        <v>593</v>
      </c>
      <c r="E65" s="9" t="s">
        <v>163</v>
      </c>
      <c r="F65" s="4" t="s">
        <v>602</v>
      </c>
      <c r="G65" s="20" t="s">
        <v>38</v>
      </c>
      <c r="H65" s="4" t="s">
        <v>603</v>
      </c>
      <c r="I65" s="4" t="s">
        <v>604</v>
      </c>
      <c r="J65" s="9" t="s">
        <v>167</v>
      </c>
      <c r="K65" s="4" t="s">
        <v>605</v>
      </c>
    </row>
    <row r="66" customFormat="false" ht="78" hidden="false" customHeight="true" outlineLevel="0" collapsed="false">
      <c r="A66" s="9" t="s">
        <v>606</v>
      </c>
      <c r="B66" s="4" t="s">
        <v>593</v>
      </c>
      <c r="C66" s="6" t="s">
        <v>607</v>
      </c>
      <c r="D66" s="4" t="s">
        <v>608</v>
      </c>
      <c r="E66" s="9" t="s">
        <v>172</v>
      </c>
      <c r="F66" s="4" t="s">
        <v>609</v>
      </c>
      <c r="G66" s="20" t="s">
        <v>38</v>
      </c>
      <c r="H66" s="4" t="s">
        <v>610</v>
      </c>
      <c r="I66" s="4" t="s">
        <v>611</v>
      </c>
      <c r="J66" s="9" t="s">
        <v>612</v>
      </c>
      <c r="K66" s="4" t="s">
        <v>613</v>
      </c>
    </row>
    <row r="67" customFormat="false" ht="78" hidden="false" customHeight="true" outlineLevel="0" collapsed="false">
      <c r="A67" s="9" t="s">
        <v>614</v>
      </c>
      <c r="B67" s="4" t="s">
        <v>593</v>
      </c>
      <c r="C67" s="6" t="s">
        <v>615</v>
      </c>
      <c r="D67" s="4" t="s">
        <v>616</v>
      </c>
      <c r="E67" s="9" t="s">
        <v>172</v>
      </c>
      <c r="F67" s="4" t="s">
        <v>617</v>
      </c>
      <c r="G67" s="20" t="s">
        <v>38</v>
      </c>
      <c r="H67" s="4" t="s">
        <v>618</v>
      </c>
      <c r="I67" s="4" t="s">
        <v>619</v>
      </c>
      <c r="J67" s="9" t="s">
        <v>190</v>
      </c>
      <c r="K67" s="4" t="s">
        <v>620</v>
      </c>
    </row>
    <row r="68" customFormat="false" ht="78" hidden="false" customHeight="true" outlineLevel="0" collapsed="false">
      <c r="A68" s="9" t="s">
        <v>621</v>
      </c>
      <c r="B68" s="4" t="s">
        <v>593</v>
      </c>
      <c r="C68" s="6" t="s">
        <v>622</v>
      </c>
      <c r="D68" s="4" t="s">
        <v>623</v>
      </c>
      <c r="E68" s="9" t="s">
        <v>172</v>
      </c>
      <c r="F68" s="4" t="s">
        <v>624</v>
      </c>
      <c r="G68" s="20" t="s">
        <v>38</v>
      </c>
      <c r="H68" s="4" t="s">
        <v>625</v>
      </c>
      <c r="I68" s="4" t="s">
        <v>626</v>
      </c>
      <c r="J68" s="9" t="s">
        <v>167</v>
      </c>
      <c r="K68" s="4" t="s">
        <v>627</v>
      </c>
    </row>
  </sheetData>
  <autoFilter ref="A3:K68"/>
  <mergeCells count="2">
    <mergeCell ref="A1:K1"/>
    <mergeCell ref="A2:K2"/>
  </mergeCells>
  <conditionalFormatting sqref="G4:G68">
    <cfRule type="cellIs" priority="2" operator="equal" aboveAverage="0" equalAverage="0" bottom="0" percent="0" rank="0" text="" dxfId="7">
      <formula>"Not Implemented"</formula>
    </cfRule>
    <cfRule type="cellIs" priority="3" operator="equal" aboveAverage="0" equalAverage="0" bottom="0" percent="0" rank="0" text="" dxfId="9">
      <formula>"Partially Implemented"</formula>
    </cfRule>
    <cfRule type="cellIs" priority="4" operator="equal" aboveAverage="0" equalAverage="0" bottom="0" percent="0" rank="0" text="" dxfId="13">
      <formula>"Implemented"</formula>
    </cfRule>
    <cfRule type="cellIs" priority="5" operator="equal" aboveAverage="0" equalAverage="0" bottom="0" percent="0" rank="0" text="" dxfId="14">
      <formula>"Alternative Measure"</formula>
    </cfRule>
    <cfRule type="cellIs" priority="6" operator="equal" aboveAverage="0" equalAverage="0" bottom="0" percent="0" rank="0" text="" dxfId="15">
      <formula>"Not Applicable"</formula>
    </cfRule>
  </conditionalFormatting>
  <dataValidations count="1">
    <dataValidation allowBlank="true" errorStyle="stop" operator="between" showDropDown="false" showErrorMessage="false" showInputMessage="false" sqref="G4:G68" type="list">
      <formula1>"Implemented,Partially Implemented,Not Implemented,Alternative Measure,Not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24"/>
    <col collapsed="false" customWidth="true" hidden="false" outlineLevel="0" max="4" min="4" style="0" width="20"/>
    <col collapsed="false" customWidth="true" hidden="false" outlineLevel="0" max="5" min="5" style="0" width="56"/>
    <col collapsed="false" customWidth="true" hidden="false" outlineLevel="0" max="6" min="6" style="0" width="62"/>
    <col collapsed="false" customWidth="true" hidden="false" outlineLevel="0" max="7" min="7" style="0" width="34"/>
    <col collapsed="false" customWidth="true" hidden="false" outlineLevel="0" max="8" min="8" style="0" width="10"/>
    <col collapsed="false" customWidth="true" hidden="false" outlineLevel="0" max="9" min="9" style="0" width="9"/>
    <col collapsed="false" customWidth="true" hidden="false" outlineLevel="0" max="10" min="10" style="0" width="11"/>
    <col collapsed="false" customWidth="true" hidden="false" outlineLevel="0" max="12" min="11" style="0" width="12"/>
    <col collapsed="false" customWidth="true" hidden="false" outlineLevel="0" max="13" min="13" style="0" width="56"/>
    <col collapsed="false" customWidth="true" hidden="false" outlineLevel="0" max="15" min="14" style="0" width="9"/>
    <col collapsed="false" customWidth="true" hidden="false" outlineLevel="0" max="16" min="16" style="0" width="11"/>
    <col collapsed="false" customWidth="true" hidden="false" outlineLevel="0" max="17" min="17" style="0" width="12"/>
    <col collapsed="false" customWidth="true" hidden="false" outlineLevel="0" max="18" min="18" style="0" width="18"/>
  </cols>
  <sheetData>
    <row r="1" customFormat="false" ht="21.75" hidden="false" customHeight="true" outlineLevel="0" collapsed="false">
      <c r="A1" s="1" t="s">
        <v>9</v>
      </c>
      <c r="B1" s="1"/>
      <c r="C1" s="1"/>
      <c r="D1" s="1"/>
      <c r="E1" s="1"/>
      <c r="F1" s="1"/>
      <c r="G1" s="1"/>
      <c r="H1" s="1"/>
      <c r="I1" s="1"/>
      <c r="J1" s="1"/>
      <c r="K1" s="1"/>
      <c r="L1" s="1"/>
      <c r="M1" s="1"/>
      <c r="N1" s="1"/>
      <c r="O1" s="1"/>
      <c r="P1" s="1"/>
      <c r="Q1" s="1"/>
      <c r="R1" s="1"/>
    </row>
    <row r="2" customFormat="false" ht="15.75" hidden="false" customHeight="true" outlineLevel="0" collapsed="false">
      <c r="A2" s="2" t="s">
        <v>628</v>
      </c>
      <c r="B2" s="2"/>
      <c r="C2" s="2"/>
      <c r="D2" s="2"/>
      <c r="E2" s="2"/>
      <c r="F2" s="2"/>
      <c r="G2" s="2"/>
      <c r="H2" s="2"/>
      <c r="I2" s="2"/>
      <c r="J2" s="2"/>
      <c r="K2" s="2"/>
      <c r="L2" s="2"/>
      <c r="M2" s="2"/>
      <c r="N2" s="2"/>
      <c r="O2" s="2"/>
      <c r="P2" s="2"/>
      <c r="Q2" s="2"/>
      <c r="R2" s="2"/>
    </row>
    <row r="3" customFormat="false" ht="23.85" hidden="false" customHeight="false" outlineLevel="0" collapsed="false">
      <c r="A3" s="8" t="s">
        <v>157</v>
      </c>
      <c r="B3" s="8" t="s">
        <v>629</v>
      </c>
      <c r="C3" s="8" t="s">
        <v>630</v>
      </c>
      <c r="D3" s="8" t="s">
        <v>631</v>
      </c>
      <c r="E3" s="8" t="s">
        <v>632</v>
      </c>
      <c r="F3" s="8" t="s">
        <v>633</v>
      </c>
      <c r="G3" s="8" t="s">
        <v>634</v>
      </c>
      <c r="H3" s="8" t="s">
        <v>635</v>
      </c>
      <c r="I3" s="8" t="s">
        <v>636</v>
      </c>
      <c r="J3" s="8" t="s">
        <v>637</v>
      </c>
      <c r="K3" s="8" t="s">
        <v>638</v>
      </c>
      <c r="L3" s="8" t="s">
        <v>639</v>
      </c>
      <c r="M3" s="8" t="s">
        <v>640</v>
      </c>
      <c r="N3" s="8" t="s">
        <v>641</v>
      </c>
      <c r="O3" s="8" t="s">
        <v>642</v>
      </c>
      <c r="P3" s="8" t="s">
        <v>643</v>
      </c>
      <c r="Q3" s="8" t="s">
        <v>644</v>
      </c>
      <c r="R3" s="8" t="s">
        <v>645</v>
      </c>
    </row>
    <row r="4" customFormat="false" ht="117.75" hidden="false" customHeight="true" outlineLevel="0" collapsed="false">
      <c r="A4" s="20" t="s">
        <v>293</v>
      </c>
      <c r="B4" s="4" t="s">
        <v>646</v>
      </c>
      <c r="C4" s="4" t="s">
        <v>647</v>
      </c>
      <c r="D4" s="9" t="s">
        <v>648</v>
      </c>
      <c r="E4" s="4" t="s">
        <v>649</v>
      </c>
      <c r="F4" s="4" t="s">
        <v>650</v>
      </c>
      <c r="G4" s="4" t="s">
        <v>651</v>
      </c>
      <c r="H4" s="21" t="n">
        <v>5</v>
      </c>
      <c r="I4" s="21" t="n">
        <v>5</v>
      </c>
      <c r="J4" s="22" t="n">
        <f aca="false">H4*I4</f>
        <v>25</v>
      </c>
      <c r="K4" s="23" t="str">
        <f aca="false">IF(J4&gt;=20,"Critical",IF(J4&gt;=12,"High",IF(J4&gt;=6,"Moderate","Low")))</f>
        <v>Critical</v>
      </c>
      <c r="L4" s="9" t="s">
        <v>652</v>
      </c>
      <c r="M4" s="4" t="s">
        <v>653</v>
      </c>
      <c r="N4" s="21" t="n">
        <v>2</v>
      </c>
      <c r="O4" s="21" t="n">
        <v>5</v>
      </c>
      <c r="P4" s="22" t="n">
        <f aca="false">N4*O4</f>
        <v>10</v>
      </c>
      <c r="Q4" s="23" t="str">
        <f aca="false">IF(P4&gt;=20,"Critical",IF(P4&gt;=12,"High",IF(P4&gt;=6,"Moderate","Low")))</f>
        <v>Moderate</v>
      </c>
      <c r="R4" s="9" t="s">
        <v>89</v>
      </c>
    </row>
    <row r="5" customFormat="false" ht="117.75" hidden="false" customHeight="true" outlineLevel="0" collapsed="false">
      <c r="A5" s="20" t="s">
        <v>167</v>
      </c>
      <c r="B5" s="4" t="s">
        <v>654</v>
      </c>
      <c r="C5" s="4" t="s">
        <v>655</v>
      </c>
      <c r="D5" s="9" t="s">
        <v>656</v>
      </c>
      <c r="E5" s="4" t="s">
        <v>657</v>
      </c>
      <c r="F5" s="4" t="s">
        <v>658</v>
      </c>
      <c r="G5" s="4" t="s">
        <v>659</v>
      </c>
      <c r="H5" s="21" t="n">
        <v>5</v>
      </c>
      <c r="I5" s="21" t="n">
        <v>4</v>
      </c>
      <c r="J5" s="22" t="n">
        <f aca="false">H5*I5</f>
        <v>20</v>
      </c>
      <c r="K5" s="23" t="str">
        <f aca="false">IF(J5&gt;=20,"Critical",IF(J5&gt;=12,"High",IF(J5&gt;=6,"Moderate","Low")))</f>
        <v>Critical</v>
      </c>
      <c r="L5" s="9" t="s">
        <v>652</v>
      </c>
      <c r="M5" s="4" t="s">
        <v>660</v>
      </c>
      <c r="N5" s="21" t="n">
        <v>2</v>
      </c>
      <c r="O5" s="21" t="n">
        <v>4</v>
      </c>
      <c r="P5" s="22" t="n">
        <f aca="false">N5*O5</f>
        <v>8</v>
      </c>
      <c r="Q5" s="23" t="str">
        <f aca="false">IF(P5&gt;=20,"Critical",IF(P5&gt;=12,"High",IF(P5&gt;=6,"Moderate","Low")))</f>
        <v>Moderate</v>
      </c>
      <c r="R5" s="9" t="s">
        <v>104</v>
      </c>
    </row>
    <row r="6" customFormat="false" ht="117.75" hidden="false" customHeight="true" outlineLevel="0" collapsed="false">
      <c r="A6" s="20" t="s">
        <v>373</v>
      </c>
      <c r="B6" s="4" t="s">
        <v>661</v>
      </c>
      <c r="C6" s="4" t="s">
        <v>662</v>
      </c>
      <c r="D6" s="9" t="s">
        <v>663</v>
      </c>
      <c r="E6" s="4" t="s">
        <v>664</v>
      </c>
      <c r="F6" s="4" t="s">
        <v>665</v>
      </c>
      <c r="G6" s="4" t="s">
        <v>666</v>
      </c>
      <c r="H6" s="21" t="n">
        <v>4</v>
      </c>
      <c r="I6" s="21" t="n">
        <v>4</v>
      </c>
      <c r="J6" s="22" t="n">
        <f aca="false">H6*I6</f>
        <v>16</v>
      </c>
      <c r="K6" s="23" t="str">
        <f aca="false">IF(J6&gt;=20,"Critical",IF(J6&gt;=12,"High",IF(J6&gt;=6,"Moderate","Low")))</f>
        <v>High</v>
      </c>
      <c r="L6" s="9" t="s">
        <v>652</v>
      </c>
      <c r="M6" s="4" t="s">
        <v>667</v>
      </c>
      <c r="N6" s="21" t="n">
        <v>1</v>
      </c>
      <c r="O6" s="21" t="n">
        <v>4</v>
      </c>
      <c r="P6" s="22" t="n">
        <f aca="false">N6*O6</f>
        <v>4</v>
      </c>
      <c r="Q6" s="23" t="str">
        <f aca="false">IF(P6&gt;=20,"Critical",IF(P6&gt;=12,"High",IF(P6&gt;=6,"Moderate","Low")))</f>
        <v>Low</v>
      </c>
      <c r="R6" s="9" t="s">
        <v>104</v>
      </c>
    </row>
    <row r="7" customFormat="false" ht="117.75" hidden="false" customHeight="true" outlineLevel="0" collapsed="false">
      <c r="A7" s="20" t="s">
        <v>214</v>
      </c>
      <c r="B7" s="4" t="s">
        <v>668</v>
      </c>
      <c r="C7" s="4" t="s">
        <v>669</v>
      </c>
      <c r="D7" s="9" t="s">
        <v>670</v>
      </c>
      <c r="E7" s="4" t="s">
        <v>671</v>
      </c>
      <c r="F7" s="4" t="s">
        <v>672</v>
      </c>
      <c r="G7" s="4" t="s">
        <v>673</v>
      </c>
      <c r="H7" s="21" t="n">
        <v>4</v>
      </c>
      <c r="I7" s="21" t="n">
        <v>4</v>
      </c>
      <c r="J7" s="22" t="n">
        <f aca="false">H7*I7</f>
        <v>16</v>
      </c>
      <c r="K7" s="23" t="str">
        <f aca="false">IF(J7&gt;=20,"Critical",IF(J7&gt;=12,"High",IF(J7&gt;=6,"Moderate","Low")))</f>
        <v>High</v>
      </c>
      <c r="L7" s="9" t="s">
        <v>652</v>
      </c>
      <c r="M7" s="4" t="s">
        <v>674</v>
      </c>
      <c r="N7" s="21" t="n">
        <v>2</v>
      </c>
      <c r="O7" s="21" t="n">
        <v>4</v>
      </c>
      <c r="P7" s="22" t="n">
        <f aca="false">N7*O7</f>
        <v>8</v>
      </c>
      <c r="Q7" s="23" t="str">
        <f aca="false">IF(P7&gt;=20,"Critical",IF(P7&gt;=12,"High",IF(P7&gt;=6,"Moderate","Low")))</f>
        <v>Moderate</v>
      </c>
      <c r="R7" s="9" t="s">
        <v>675</v>
      </c>
    </row>
    <row r="8" customFormat="false" ht="117.75" hidden="false" customHeight="true" outlineLevel="0" collapsed="false">
      <c r="A8" s="20" t="s">
        <v>285</v>
      </c>
      <c r="B8" s="4" t="s">
        <v>676</v>
      </c>
      <c r="C8" s="4" t="s">
        <v>677</v>
      </c>
      <c r="D8" s="9" t="s">
        <v>678</v>
      </c>
      <c r="E8" s="4" t="s">
        <v>679</v>
      </c>
      <c r="F8" s="4" t="s">
        <v>680</v>
      </c>
      <c r="G8" s="4" t="s">
        <v>681</v>
      </c>
      <c r="H8" s="21" t="n">
        <v>4</v>
      </c>
      <c r="I8" s="21" t="n">
        <v>5</v>
      </c>
      <c r="J8" s="22" t="n">
        <f aca="false">H8*I8</f>
        <v>20</v>
      </c>
      <c r="K8" s="23" t="str">
        <f aca="false">IF(J8&gt;=20,"Critical",IF(J8&gt;=12,"High",IF(J8&gt;=6,"Moderate","Low")))</f>
        <v>Critical</v>
      </c>
      <c r="L8" s="9" t="s">
        <v>652</v>
      </c>
      <c r="M8" s="4" t="s">
        <v>682</v>
      </c>
      <c r="N8" s="21" t="n">
        <v>2</v>
      </c>
      <c r="O8" s="21" t="n">
        <v>5</v>
      </c>
      <c r="P8" s="22" t="n">
        <f aca="false">N8*O8</f>
        <v>10</v>
      </c>
      <c r="Q8" s="23" t="str">
        <f aca="false">IF(P8&gt;=20,"Critical",IF(P8&gt;=12,"High",IF(P8&gt;=6,"Moderate","Low")))</f>
        <v>Moderate</v>
      </c>
      <c r="R8" s="9" t="s">
        <v>89</v>
      </c>
    </row>
    <row r="9" customFormat="false" ht="117.75" hidden="false" customHeight="true" outlineLevel="0" collapsed="false">
      <c r="A9" s="20" t="s">
        <v>365</v>
      </c>
      <c r="B9" s="4" t="s">
        <v>683</v>
      </c>
      <c r="C9" s="4" t="s">
        <v>655</v>
      </c>
      <c r="D9" s="9" t="s">
        <v>684</v>
      </c>
      <c r="E9" s="4" t="s">
        <v>685</v>
      </c>
      <c r="F9" s="4" t="s">
        <v>686</v>
      </c>
      <c r="G9" s="4" t="s">
        <v>659</v>
      </c>
      <c r="H9" s="21" t="n">
        <v>3</v>
      </c>
      <c r="I9" s="21" t="n">
        <v>4</v>
      </c>
      <c r="J9" s="22" t="n">
        <f aca="false">H9*I9</f>
        <v>12</v>
      </c>
      <c r="K9" s="23" t="str">
        <f aca="false">IF(J9&gt;=20,"Critical",IF(J9&gt;=12,"High",IF(J9&gt;=6,"Moderate","Low")))</f>
        <v>High</v>
      </c>
      <c r="L9" s="9" t="s">
        <v>652</v>
      </c>
      <c r="M9" s="4" t="s">
        <v>687</v>
      </c>
      <c r="N9" s="21" t="n">
        <v>2</v>
      </c>
      <c r="O9" s="21" t="n">
        <v>4</v>
      </c>
      <c r="P9" s="22" t="n">
        <f aca="false">N9*O9</f>
        <v>8</v>
      </c>
      <c r="Q9" s="23" t="str">
        <f aca="false">IF(P9&gt;=20,"Critical",IF(P9&gt;=12,"High",IF(P9&gt;=6,"Moderate","Low")))</f>
        <v>Moderate</v>
      </c>
      <c r="R9" s="9" t="s">
        <v>89</v>
      </c>
    </row>
    <row r="10" customFormat="false" ht="117.75" hidden="false" customHeight="true" outlineLevel="0" collapsed="false">
      <c r="A10" s="20" t="s">
        <v>322</v>
      </c>
      <c r="B10" s="4" t="s">
        <v>688</v>
      </c>
      <c r="C10" s="4" t="s">
        <v>689</v>
      </c>
      <c r="D10" s="9" t="s">
        <v>690</v>
      </c>
      <c r="E10" s="4" t="s">
        <v>691</v>
      </c>
      <c r="F10" s="4" t="s">
        <v>692</v>
      </c>
      <c r="G10" s="4" t="s">
        <v>693</v>
      </c>
      <c r="H10" s="21" t="n">
        <v>3</v>
      </c>
      <c r="I10" s="21" t="n">
        <v>5</v>
      </c>
      <c r="J10" s="22" t="n">
        <f aca="false">H10*I10</f>
        <v>15</v>
      </c>
      <c r="K10" s="23" t="str">
        <f aca="false">IF(J10&gt;=20,"Critical",IF(J10&gt;=12,"High",IF(J10&gt;=6,"Moderate","Low")))</f>
        <v>High</v>
      </c>
      <c r="L10" s="9" t="s">
        <v>652</v>
      </c>
      <c r="M10" s="4" t="s">
        <v>694</v>
      </c>
      <c r="N10" s="21" t="n">
        <v>1</v>
      </c>
      <c r="O10" s="21" t="n">
        <v>5</v>
      </c>
      <c r="P10" s="22" t="n">
        <f aca="false">N10*O10</f>
        <v>5</v>
      </c>
      <c r="Q10" s="23" t="str">
        <f aca="false">IF(P10&gt;=20,"Critical",IF(P10&gt;=12,"High",IF(P10&gt;=6,"Moderate","Low")))</f>
        <v>Low</v>
      </c>
      <c r="R10" s="9" t="s">
        <v>89</v>
      </c>
    </row>
    <row r="11" customFormat="false" ht="117.75" hidden="false" customHeight="true" outlineLevel="0" collapsed="false">
      <c r="A11" s="20" t="s">
        <v>440</v>
      </c>
      <c r="B11" s="4" t="s">
        <v>695</v>
      </c>
      <c r="C11" s="4" t="s">
        <v>696</v>
      </c>
      <c r="D11" s="9" t="s">
        <v>697</v>
      </c>
      <c r="E11" s="4" t="s">
        <v>698</v>
      </c>
      <c r="F11" s="4" t="s">
        <v>699</v>
      </c>
      <c r="G11" s="4" t="s">
        <v>700</v>
      </c>
      <c r="H11" s="21" t="n">
        <v>3</v>
      </c>
      <c r="I11" s="21" t="n">
        <v>4</v>
      </c>
      <c r="J11" s="22" t="n">
        <f aca="false">H11*I11</f>
        <v>12</v>
      </c>
      <c r="K11" s="23" t="str">
        <f aca="false">IF(J11&gt;=20,"Critical",IF(J11&gt;=12,"High",IF(J11&gt;=6,"Moderate","Low")))</f>
        <v>High</v>
      </c>
      <c r="L11" s="9" t="s">
        <v>652</v>
      </c>
      <c r="M11" s="4" t="s">
        <v>701</v>
      </c>
      <c r="N11" s="21" t="n">
        <v>1</v>
      </c>
      <c r="O11" s="21" t="n">
        <v>4</v>
      </c>
      <c r="P11" s="22" t="n">
        <f aca="false">N11*O11</f>
        <v>4</v>
      </c>
      <c r="Q11" s="23" t="str">
        <f aca="false">IF(P11&gt;=20,"Critical",IF(P11&gt;=12,"High",IF(P11&gt;=6,"Moderate","Low")))</f>
        <v>Low</v>
      </c>
      <c r="R11" s="9" t="s">
        <v>89</v>
      </c>
    </row>
    <row r="12" customFormat="false" ht="117.75" hidden="false" customHeight="true" outlineLevel="0" collapsed="false">
      <c r="A12" s="20" t="s">
        <v>612</v>
      </c>
      <c r="B12" s="4" t="s">
        <v>702</v>
      </c>
      <c r="C12" s="4" t="s">
        <v>703</v>
      </c>
      <c r="D12" s="9" t="s">
        <v>704</v>
      </c>
      <c r="E12" s="4" t="s">
        <v>705</v>
      </c>
      <c r="F12" s="4" t="s">
        <v>706</v>
      </c>
      <c r="G12" s="4" t="s">
        <v>707</v>
      </c>
      <c r="H12" s="21" t="n">
        <v>3</v>
      </c>
      <c r="I12" s="21" t="n">
        <v>4</v>
      </c>
      <c r="J12" s="22" t="n">
        <f aca="false">H12*I12</f>
        <v>12</v>
      </c>
      <c r="K12" s="23" t="str">
        <f aca="false">IF(J12&gt;=20,"Critical",IF(J12&gt;=12,"High",IF(J12&gt;=6,"Moderate","Low")))</f>
        <v>High</v>
      </c>
      <c r="L12" s="9" t="s">
        <v>652</v>
      </c>
      <c r="M12" s="4" t="s">
        <v>708</v>
      </c>
      <c r="N12" s="21" t="n">
        <v>2</v>
      </c>
      <c r="O12" s="21" t="n">
        <v>3</v>
      </c>
      <c r="P12" s="22" t="n">
        <f aca="false">N12*O12</f>
        <v>6</v>
      </c>
      <c r="Q12" s="23" t="str">
        <f aca="false">IF(P12&gt;=20,"Critical",IF(P12&gt;=12,"High",IF(P12&gt;=6,"Moderate","Low")))</f>
        <v>Moderate</v>
      </c>
      <c r="R12" s="9" t="s">
        <v>89</v>
      </c>
    </row>
    <row r="13" customFormat="false" ht="117.75" hidden="false" customHeight="true" outlineLevel="0" collapsed="false">
      <c r="A13" s="20" t="s">
        <v>389</v>
      </c>
      <c r="B13" s="4" t="s">
        <v>709</v>
      </c>
      <c r="C13" s="4" t="s">
        <v>710</v>
      </c>
      <c r="D13" s="9" t="s">
        <v>711</v>
      </c>
      <c r="E13" s="4" t="s">
        <v>712</v>
      </c>
      <c r="F13" s="4" t="s">
        <v>713</v>
      </c>
      <c r="G13" s="4" t="s">
        <v>714</v>
      </c>
      <c r="H13" s="21" t="n">
        <v>3</v>
      </c>
      <c r="I13" s="21" t="n">
        <v>3</v>
      </c>
      <c r="J13" s="22" t="n">
        <f aca="false">H13*I13</f>
        <v>9</v>
      </c>
      <c r="K13" s="23" t="str">
        <f aca="false">IF(J13&gt;=20,"Critical",IF(J13&gt;=12,"High",IF(J13&gt;=6,"Moderate","Low")))</f>
        <v>Moderate</v>
      </c>
      <c r="L13" s="9" t="s">
        <v>652</v>
      </c>
      <c r="M13" s="4" t="s">
        <v>715</v>
      </c>
      <c r="N13" s="21" t="n">
        <v>2</v>
      </c>
      <c r="O13" s="21" t="n">
        <v>3</v>
      </c>
      <c r="P13" s="22" t="n">
        <f aca="false">N13*O13</f>
        <v>6</v>
      </c>
      <c r="Q13" s="23" t="str">
        <f aca="false">IF(P13&gt;=20,"Critical",IF(P13&gt;=12,"High",IF(P13&gt;=6,"Moderate","Low")))</f>
        <v>Moderate</v>
      </c>
      <c r="R13" s="9" t="s">
        <v>104</v>
      </c>
    </row>
    <row r="14" customFormat="false" ht="117.75" hidden="false" customHeight="true" outlineLevel="0" collapsed="false">
      <c r="A14" s="20" t="s">
        <v>198</v>
      </c>
      <c r="B14" s="4" t="s">
        <v>716</v>
      </c>
      <c r="C14" s="4" t="s">
        <v>717</v>
      </c>
      <c r="D14" s="9" t="s">
        <v>718</v>
      </c>
      <c r="E14" s="4" t="s">
        <v>719</v>
      </c>
      <c r="F14" s="4" t="s">
        <v>720</v>
      </c>
      <c r="G14" s="4" t="s">
        <v>721</v>
      </c>
      <c r="H14" s="21" t="n">
        <v>4</v>
      </c>
      <c r="I14" s="21" t="n">
        <v>3</v>
      </c>
      <c r="J14" s="22" t="n">
        <f aca="false">H14*I14</f>
        <v>12</v>
      </c>
      <c r="K14" s="23" t="str">
        <f aca="false">IF(J14&gt;=20,"Critical",IF(J14&gt;=12,"High",IF(J14&gt;=6,"Moderate","Low")))</f>
        <v>High</v>
      </c>
      <c r="L14" s="9" t="s">
        <v>652</v>
      </c>
      <c r="M14" s="4" t="s">
        <v>722</v>
      </c>
      <c r="N14" s="21" t="n">
        <v>2</v>
      </c>
      <c r="O14" s="21" t="n">
        <v>3</v>
      </c>
      <c r="P14" s="22" t="n">
        <f aca="false">N14*O14</f>
        <v>6</v>
      </c>
      <c r="Q14" s="23" t="str">
        <f aca="false">IF(P14&gt;=20,"Critical",IF(P14&gt;=12,"High",IF(P14&gt;=6,"Moderate","Low")))</f>
        <v>Moderate</v>
      </c>
      <c r="R14" s="9" t="s">
        <v>104</v>
      </c>
    </row>
    <row r="15" customFormat="false" ht="117.75" hidden="false" customHeight="true" outlineLevel="0" collapsed="false">
      <c r="A15" s="20" t="s">
        <v>538</v>
      </c>
      <c r="B15" s="4" t="s">
        <v>723</v>
      </c>
      <c r="C15" s="4" t="s">
        <v>724</v>
      </c>
      <c r="D15" s="9" t="s">
        <v>725</v>
      </c>
      <c r="E15" s="4" t="s">
        <v>726</v>
      </c>
      <c r="F15" s="4" t="s">
        <v>727</v>
      </c>
      <c r="G15" s="4" t="s">
        <v>728</v>
      </c>
      <c r="H15" s="21" t="n">
        <v>4</v>
      </c>
      <c r="I15" s="21" t="n">
        <v>3</v>
      </c>
      <c r="J15" s="22" t="n">
        <f aca="false">H15*I15</f>
        <v>12</v>
      </c>
      <c r="K15" s="23" t="str">
        <f aca="false">IF(J15&gt;=20,"Critical",IF(J15&gt;=12,"High",IF(J15&gt;=6,"Moderate","Low")))</f>
        <v>High</v>
      </c>
      <c r="L15" s="9" t="s">
        <v>652</v>
      </c>
      <c r="M15" s="4" t="s">
        <v>729</v>
      </c>
      <c r="N15" s="21" t="n">
        <v>2</v>
      </c>
      <c r="O15" s="21" t="n">
        <v>3</v>
      </c>
      <c r="P15" s="22" t="n">
        <f aca="false">N15*O15</f>
        <v>6</v>
      </c>
      <c r="Q15" s="23" t="str">
        <f aca="false">IF(P15&gt;=20,"Critical",IF(P15&gt;=12,"High",IF(P15&gt;=6,"Moderate","Low")))</f>
        <v>Moderate</v>
      </c>
      <c r="R15" s="9" t="s">
        <v>89</v>
      </c>
    </row>
    <row r="16" customFormat="false" ht="117.75" hidden="false" customHeight="true" outlineLevel="0" collapsed="false">
      <c r="A16" s="20" t="s">
        <v>190</v>
      </c>
      <c r="B16" s="4" t="s">
        <v>730</v>
      </c>
      <c r="C16" s="4" t="s">
        <v>731</v>
      </c>
      <c r="D16" s="9" t="s">
        <v>732</v>
      </c>
      <c r="E16" s="4" t="s">
        <v>733</v>
      </c>
      <c r="F16" s="4" t="s">
        <v>734</v>
      </c>
      <c r="G16" s="4" t="s">
        <v>735</v>
      </c>
      <c r="H16" s="21" t="n">
        <v>4</v>
      </c>
      <c r="I16" s="21" t="n">
        <v>4</v>
      </c>
      <c r="J16" s="22" t="n">
        <f aca="false">H16*I16</f>
        <v>16</v>
      </c>
      <c r="K16" s="23" t="str">
        <f aca="false">IF(J16&gt;=20,"Critical",IF(J16&gt;=12,"High",IF(J16&gt;=6,"Moderate","Low")))</f>
        <v>High</v>
      </c>
      <c r="L16" s="9" t="s">
        <v>652</v>
      </c>
      <c r="M16" s="4" t="s">
        <v>736</v>
      </c>
      <c r="N16" s="21" t="n">
        <v>3</v>
      </c>
      <c r="O16" s="21" t="n">
        <v>4</v>
      </c>
      <c r="P16" s="22" t="n">
        <f aca="false">N16*O16</f>
        <v>12</v>
      </c>
      <c r="Q16" s="23" t="str">
        <f aca="false">IF(P16&gt;=20,"Critical",IF(P16&gt;=12,"High",IF(P16&gt;=6,"Moderate","Low")))</f>
        <v>High</v>
      </c>
      <c r="R16" s="9" t="s">
        <v>737</v>
      </c>
    </row>
    <row r="17" customFormat="false" ht="117.75" hidden="false" customHeight="true" outlineLevel="0" collapsed="false">
      <c r="A17" s="20" t="s">
        <v>425</v>
      </c>
      <c r="B17" s="4" t="s">
        <v>738</v>
      </c>
      <c r="C17" s="4" t="s">
        <v>739</v>
      </c>
      <c r="D17" s="9" t="s">
        <v>740</v>
      </c>
      <c r="E17" s="4" t="s">
        <v>741</v>
      </c>
      <c r="F17" s="4" t="s">
        <v>742</v>
      </c>
      <c r="G17" s="4" t="s">
        <v>743</v>
      </c>
      <c r="H17" s="21" t="n">
        <v>4</v>
      </c>
      <c r="I17" s="21" t="n">
        <v>2</v>
      </c>
      <c r="J17" s="22" t="n">
        <f aca="false">H17*I17</f>
        <v>8</v>
      </c>
      <c r="K17" s="23" t="str">
        <f aca="false">IF(J17&gt;=20,"Critical",IF(J17&gt;=12,"High",IF(J17&gt;=6,"Moderate","Low")))</f>
        <v>Moderate</v>
      </c>
      <c r="L17" s="9" t="s">
        <v>652</v>
      </c>
      <c r="M17" s="4" t="s">
        <v>744</v>
      </c>
      <c r="N17" s="21" t="n">
        <v>2</v>
      </c>
      <c r="O17" s="21" t="n">
        <v>2</v>
      </c>
      <c r="P17" s="22" t="n">
        <f aca="false">N17*O17</f>
        <v>4</v>
      </c>
      <c r="Q17" s="23" t="str">
        <f aca="false">IF(P17&gt;=20,"Critical",IF(P17&gt;=12,"High",IF(P17&gt;=6,"Moderate","Low")))</f>
        <v>Low</v>
      </c>
      <c r="R17" s="9" t="s">
        <v>104</v>
      </c>
    </row>
    <row r="18" customFormat="false" ht="117.75" hidden="false" customHeight="true" outlineLevel="0" collapsed="false">
      <c r="A18" s="20" t="s">
        <v>745</v>
      </c>
      <c r="B18" s="4" t="s">
        <v>746</v>
      </c>
      <c r="C18" s="4" t="s">
        <v>747</v>
      </c>
      <c r="D18" s="9" t="s">
        <v>748</v>
      </c>
      <c r="E18" s="4" t="s">
        <v>749</v>
      </c>
      <c r="F18" s="4" t="s">
        <v>750</v>
      </c>
      <c r="G18" s="4" t="s">
        <v>751</v>
      </c>
      <c r="H18" s="21" t="n">
        <v>2</v>
      </c>
      <c r="I18" s="21" t="n">
        <v>3</v>
      </c>
      <c r="J18" s="22" t="n">
        <f aca="false">H18*I18</f>
        <v>6</v>
      </c>
      <c r="K18" s="23" t="str">
        <f aca="false">IF(J18&gt;=20,"Critical",IF(J18&gt;=12,"High",IF(J18&gt;=6,"Moderate","Low")))</f>
        <v>Moderate</v>
      </c>
      <c r="L18" s="9" t="s">
        <v>652</v>
      </c>
      <c r="M18" s="4" t="s">
        <v>752</v>
      </c>
      <c r="N18" s="21" t="n">
        <v>1</v>
      </c>
      <c r="O18" s="21" t="n">
        <v>3</v>
      </c>
      <c r="P18" s="22" t="n">
        <f aca="false">N18*O18</f>
        <v>3</v>
      </c>
      <c r="Q18" s="23" t="str">
        <f aca="false">IF(P18&gt;=20,"Critical",IF(P18&gt;=12,"High",IF(P18&gt;=6,"Moderate","Low")))</f>
        <v>Low</v>
      </c>
      <c r="R18" s="9" t="s">
        <v>89</v>
      </c>
    </row>
    <row r="20" customFormat="false" ht="42" hidden="false" customHeight="true" outlineLevel="0" collapsed="false">
      <c r="A20" s="6" t="s">
        <v>753</v>
      </c>
      <c r="B20" s="7" t="s">
        <v>754</v>
      </c>
      <c r="C20" s="7"/>
      <c r="D20" s="7"/>
      <c r="E20" s="7"/>
      <c r="F20" s="7"/>
      <c r="G20" s="7"/>
      <c r="H20" s="7"/>
      <c r="I20" s="7"/>
      <c r="J20" s="7"/>
      <c r="K20" s="7"/>
      <c r="L20" s="7"/>
      <c r="M20" s="7"/>
      <c r="N20" s="7"/>
      <c r="O20" s="7"/>
      <c r="P20" s="7"/>
      <c r="Q20" s="7"/>
      <c r="R20" s="7"/>
    </row>
  </sheetData>
  <autoFilter ref="A3:R18"/>
  <mergeCells count="3">
    <mergeCell ref="A1:R1"/>
    <mergeCell ref="A2:R2"/>
    <mergeCell ref="B20:R20"/>
  </mergeCells>
  <conditionalFormatting sqref="K4:K18">
    <cfRule type="cellIs" priority="2" operator="equal" aboveAverage="0" equalAverage="0" bottom="0" percent="0" rank="0" text="" dxfId="7">
      <formula>"Critical"</formula>
    </cfRule>
    <cfRule type="cellIs" priority="3" operator="equal" aboveAverage="0" equalAverage="0" bottom="0" percent="0" rank="0" text="" dxfId="8">
      <formula>"High"</formula>
    </cfRule>
    <cfRule type="cellIs" priority="4" operator="equal" aboveAverage="0" equalAverage="0" bottom="0" percent="0" rank="0" text="" dxfId="9">
      <formula>"Moderate"</formula>
    </cfRule>
    <cfRule type="cellIs" priority="5" operator="equal" aboveAverage="0" equalAverage="0" bottom="0" percent="0" rank="0" text="" dxfId="13">
      <formula>"Low"</formula>
    </cfRule>
  </conditionalFormatting>
  <conditionalFormatting sqref="Q4:Q18">
    <cfRule type="cellIs" priority="6" operator="equal" aboveAverage="0" equalAverage="0" bottom="0" percent="0" rank="0" text="" dxfId="7">
      <formula>"Critical"</formula>
    </cfRule>
    <cfRule type="cellIs" priority="7" operator="equal" aboveAverage="0" equalAverage="0" bottom="0" percent="0" rank="0" text="" dxfId="8">
      <formula>"High"</formula>
    </cfRule>
    <cfRule type="cellIs" priority="8" operator="equal" aboveAverage="0" equalAverage="0" bottom="0" percent="0" rank="0" text="" dxfId="9">
      <formula>"Moderate"</formula>
    </cfRule>
    <cfRule type="cellIs" priority="9" operator="equal" aboveAverage="0" equalAverage="0" bottom="0" percent="0" rank="0" text="" dxfId="13">
      <formula>"Low"</formula>
    </cfRule>
  </conditionalFormatting>
  <conditionalFormatting sqref="J4:J18">
    <cfRule type="cellIs" priority="10" operator="greaterThanOrEqual" aboveAverage="0" equalAverage="0" bottom="0" percent="0" rank="0" text="" dxfId="17">
      <formula>20</formula>
    </cfRule>
    <cfRule type="cellIs" priority="11" operator="between" aboveAverage="0" equalAverage="0" bottom="0" percent="0" rank="0" text="" dxfId="18">
      <formula>12</formula>
      <formula>19</formula>
    </cfRule>
    <cfRule type="cellIs" priority="12" operator="between" aboveAverage="0" equalAverage="0" bottom="0" percent="0" rank="0" text="" dxfId="19">
      <formula>6</formula>
      <formula>11</formula>
    </cfRule>
    <cfRule type="cellIs" priority="13" operator="lessThanOrEqual" aboveAverage="0" equalAverage="0" bottom="0" percent="0" rank="0" text="" dxfId="20">
      <formula>5</formula>
    </cfRule>
  </conditionalFormatting>
  <conditionalFormatting sqref="P4:P18">
    <cfRule type="cellIs" priority="14" operator="greaterThanOrEqual" aboveAverage="0" equalAverage="0" bottom="0" percent="0" rank="0" text="" dxfId="17">
      <formula>20</formula>
    </cfRule>
    <cfRule type="cellIs" priority="15" operator="between" aboveAverage="0" equalAverage="0" bottom="0" percent="0" rank="0" text="" dxfId="18">
      <formula>12</formula>
      <formula>19</formula>
    </cfRule>
    <cfRule type="cellIs" priority="16" operator="between" aboveAverage="0" equalAverage="0" bottom="0" percent="0" rank="0" text="" dxfId="19">
      <formula>6</formula>
      <formula>11</formula>
    </cfRule>
    <cfRule type="cellIs" priority="17" operator="lessThanOrEqual" aboveAverage="0" equalAverage="0" bottom="0" percent="0" rank="0" text="" dxfId="20">
      <formula>5</formula>
    </cfRule>
  </conditionalFormatting>
  <dataValidations count="2">
    <dataValidation allowBlank="false" error="Likelihood and Impact must be 1-5." errorStyle="stop" errorTitle="Out of range" operator="between" showDropDown="false" showErrorMessage="false" showInputMessage="false" sqref="H4:I18 N4:O18" type="whole">
      <formula1>1</formula1>
      <formula2>5</formula2>
    </dataValidation>
    <dataValidation allowBlank="true" errorStyle="stop" operator="between" showDropDown="false" showErrorMessage="false" showInputMessage="false" sqref="L4:L18" type="list">
      <formula1>"Mitigate,Accept,Transfer,Avoid"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5"/>
    <col collapsed="false" customWidth="true" hidden="false" outlineLevel="0" max="4" min="4" style="0" width="64"/>
    <col collapsed="false" customWidth="true" hidden="false" outlineLevel="0" max="5" min="5" style="0" width="22"/>
    <col collapsed="false" customWidth="true" hidden="false" outlineLevel="0" max="6" min="6" style="0" width="30"/>
    <col collapsed="false" customWidth="true" hidden="false" outlineLevel="0" max="8" min="7" style="0" width="12"/>
    <col collapsed="false" customWidth="true" hidden="false" outlineLevel="0" max="9" min="9" style="0" width="13"/>
    <col collapsed="false" customWidth="true" hidden="false" outlineLevel="0" max="10" min="10" style="0" width="11"/>
    <col collapsed="false" customWidth="true" hidden="false" outlineLevel="0" max="11" min="11" style="0" width="60"/>
    <col collapsed="false" customWidth="true" hidden="false" outlineLevel="0" max="12" min="12" style="0" width="13"/>
  </cols>
  <sheetData>
    <row r="1" customFormat="false" ht="21.75" hidden="false" customHeight="true" outlineLevel="0" collapsed="false">
      <c r="A1" s="1" t="s">
        <v>755</v>
      </c>
      <c r="B1" s="1"/>
      <c r="C1" s="1"/>
      <c r="D1" s="1"/>
      <c r="E1" s="1"/>
      <c r="F1" s="1"/>
      <c r="G1" s="1"/>
      <c r="H1" s="1"/>
      <c r="I1" s="1"/>
      <c r="J1" s="1"/>
      <c r="K1" s="1"/>
      <c r="L1" s="1"/>
    </row>
    <row r="2" customFormat="false" ht="15.75" hidden="false" customHeight="true" outlineLevel="0" collapsed="false">
      <c r="A2" s="2" t="s">
        <v>756</v>
      </c>
      <c r="B2" s="2"/>
      <c r="C2" s="2"/>
      <c r="D2" s="2"/>
      <c r="E2" s="2"/>
      <c r="F2" s="2"/>
      <c r="G2" s="2"/>
      <c r="H2" s="2"/>
      <c r="I2" s="2"/>
      <c r="J2" s="2"/>
      <c r="K2" s="2"/>
      <c r="L2" s="2"/>
    </row>
    <row r="3" customFormat="false" ht="35.05" hidden="false" customHeight="false" outlineLevel="0" collapsed="false">
      <c r="A3" s="8" t="s">
        <v>757</v>
      </c>
      <c r="B3" s="8" t="s">
        <v>157</v>
      </c>
      <c r="C3" s="8" t="s">
        <v>758</v>
      </c>
      <c r="D3" s="8" t="s">
        <v>759</v>
      </c>
      <c r="E3" s="8" t="s">
        <v>760</v>
      </c>
      <c r="F3" s="8" t="s">
        <v>761</v>
      </c>
      <c r="G3" s="8" t="s">
        <v>762</v>
      </c>
      <c r="H3" s="8" t="s">
        <v>763</v>
      </c>
      <c r="I3" s="8" t="s">
        <v>764</v>
      </c>
      <c r="J3" s="8" t="s">
        <v>765</v>
      </c>
      <c r="K3" s="8" t="s">
        <v>766</v>
      </c>
      <c r="L3" s="8" t="s">
        <v>767</v>
      </c>
    </row>
    <row r="4" customFormat="false" ht="61.5" hidden="false" customHeight="true" outlineLevel="0" collapsed="false">
      <c r="A4" s="20" t="s">
        <v>768</v>
      </c>
      <c r="B4" s="9" t="s">
        <v>293</v>
      </c>
      <c r="C4" s="9" t="s">
        <v>769</v>
      </c>
      <c r="D4" s="4" t="s">
        <v>770</v>
      </c>
      <c r="E4" s="9" t="s">
        <v>89</v>
      </c>
      <c r="F4" s="4" t="s">
        <v>771</v>
      </c>
      <c r="G4" s="9" t="s">
        <v>772</v>
      </c>
      <c r="H4" s="9" t="s">
        <v>773</v>
      </c>
      <c r="I4" s="20" t="s">
        <v>774</v>
      </c>
      <c r="J4" s="24" t="n">
        <v>0.4</v>
      </c>
      <c r="K4" s="4" t="s">
        <v>775</v>
      </c>
      <c r="L4" s="25" t="n">
        <f aca="false">DATEVALUE(H4)-DATEVALUE("2026-04-03")</f>
        <v>31</v>
      </c>
    </row>
    <row r="5" customFormat="false" ht="61.5" hidden="false" customHeight="true" outlineLevel="0" collapsed="false">
      <c r="A5" s="20" t="s">
        <v>776</v>
      </c>
      <c r="B5" s="9" t="s">
        <v>167</v>
      </c>
      <c r="C5" s="9" t="s">
        <v>769</v>
      </c>
      <c r="D5" s="4" t="s">
        <v>777</v>
      </c>
      <c r="E5" s="9" t="s">
        <v>104</v>
      </c>
      <c r="F5" s="4" t="s">
        <v>778</v>
      </c>
      <c r="G5" s="9" t="s">
        <v>772</v>
      </c>
      <c r="H5" s="9" t="s">
        <v>779</v>
      </c>
      <c r="I5" s="20" t="s">
        <v>774</v>
      </c>
      <c r="J5" s="24" t="n">
        <v>0.6</v>
      </c>
      <c r="K5" s="4" t="s">
        <v>780</v>
      </c>
      <c r="L5" s="25" t="n">
        <f aca="false">DATEVALUE(H5)-DATEVALUE("2026-04-03")</f>
        <v>27</v>
      </c>
    </row>
    <row r="6" customFormat="false" ht="61.5" hidden="false" customHeight="true" outlineLevel="0" collapsed="false">
      <c r="A6" s="20" t="s">
        <v>781</v>
      </c>
      <c r="B6" s="9" t="s">
        <v>285</v>
      </c>
      <c r="C6" s="9" t="s">
        <v>769</v>
      </c>
      <c r="D6" s="4" t="s">
        <v>782</v>
      </c>
      <c r="E6" s="9" t="s">
        <v>89</v>
      </c>
      <c r="F6" s="4" t="s">
        <v>783</v>
      </c>
      <c r="G6" s="9" t="s">
        <v>784</v>
      </c>
      <c r="H6" s="9" t="s">
        <v>785</v>
      </c>
      <c r="I6" s="20" t="s">
        <v>774</v>
      </c>
      <c r="J6" s="24" t="n">
        <v>0.25</v>
      </c>
      <c r="K6" s="4" t="s">
        <v>786</v>
      </c>
      <c r="L6" s="25" t="n">
        <f aca="false">DATEVALUE(H6)-DATEVALUE("2026-04-03")</f>
        <v>73</v>
      </c>
    </row>
    <row r="7" customFormat="false" ht="61.5" hidden="false" customHeight="true" outlineLevel="0" collapsed="false">
      <c r="A7" s="20" t="s">
        <v>787</v>
      </c>
      <c r="B7" s="9" t="s">
        <v>285</v>
      </c>
      <c r="C7" s="9" t="s">
        <v>788</v>
      </c>
      <c r="D7" s="4" t="s">
        <v>789</v>
      </c>
      <c r="E7" s="9" t="s">
        <v>89</v>
      </c>
      <c r="F7" s="4" t="s">
        <v>790</v>
      </c>
      <c r="G7" s="9" t="s">
        <v>773</v>
      </c>
      <c r="H7" s="9" t="s">
        <v>791</v>
      </c>
      <c r="I7" s="20" t="s">
        <v>792</v>
      </c>
      <c r="J7" s="24" t="n">
        <v>0</v>
      </c>
      <c r="K7" s="4" t="s">
        <v>793</v>
      </c>
      <c r="L7" s="25" t="n">
        <f aca="false">DATEVALUE(H7)-DATEVALUE("2026-04-03")</f>
        <v>88</v>
      </c>
    </row>
    <row r="8" customFormat="false" ht="61.5" hidden="false" customHeight="true" outlineLevel="0" collapsed="false">
      <c r="A8" s="20" t="s">
        <v>794</v>
      </c>
      <c r="B8" s="9" t="s">
        <v>373</v>
      </c>
      <c r="C8" s="9" t="s">
        <v>769</v>
      </c>
      <c r="D8" s="4" t="s">
        <v>795</v>
      </c>
      <c r="E8" s="9" t="s">
        <v>104</v>
      </c>
      <c r="F8" s="4" t="s">
        <v>796</v>
      </c>
      <c r="G8" s="9" t="s">
        <v>772</v>
      </c>
      <c r="H8" s="9" t="s">
        <v>797</v>
      </c>
      <c r="I8" s="20" t="s">
        <v>774</v>
      </c>
      <c r="J8" s="24" t="n">
        <v>0.33</v>
      </c>
      <c r="K8" s="4" t="s">
        <v>798</v>
      </c>
      <c r="L8" s="25" t="n">
        <f aca="false">DATEVALUE(H8)-DATEVALUE("2026-04-03")</f>
        <v>42</v>
      </c>
    </row>
    <row r="9" customFormat="false" ht="61.5" hidden="false" customHeight="true" outlineLevel="0" collapsed="false">
      <c r="A9" s="20" t="s">
        <v>799</v>
      </c>
      <c r="B9" s="9" t="s">
        <v>214</v>
      </c>
      <c r="C9" s="9" t="s">
        <v>769</v>
      </c>
      <c r="D9" s="4" t="s">
        <v>800</v>
      </c>
      <c r="E9" s="9" t="s">
        <v>675</v>
      </c>
      <c r="F9" s="4" t="s">
        <v>801</v>
      </c>
      <c r="G9" s="9" t="s">
        <v>772</v>
      </c>
      <c r="H9" s="9" t="s">
        <v>802</v>
      </c>
      <c r="I9" s="20" t="s">
        <v>803</v>
      </c>
      <c r="J9" s="24" t="n">
        <v>1</v>
      </c>
      <c r="K9" s="4" t="s">
        <v>804</v>
      </c>
      <c r="L9" s="25" t="n">
        <f aca="false">DATEVALUE(H9)-DATEVALUE("2026-04-03")</f>
        <v>21</v>
      </c>
    </row>
    <row r="10" customFormat="false" ht="61.5" hidden="false" customHeight="true" outlineLevel="0" collapsed="false">
      <c r="A10" s="20" t="s">
        <v>805</v>
      </c>
      <c r="B10" s="9" t="s">
        <v>214</v>
      </c>
      <c r="C10" s="9" t="s">
        <v>788</v>
      </c>
      <c r="D10" s="4" t="s">
        <v>806</v>
      </c>
      <c r="E10" s="9" t="s">
        <v>89</v>
      </c>
      <c r="F10" s="4" t="s">
        <v>807</v>
      </c>
      <c r="G10" s="9" t="s">
        <v>773</v>
      </c>
      <c r="H10" s="9" t="s">
        <v>808</v>
      </c>
      <c r="I10" s="20" t="s">
        <v>792</v>
      </c>
      <c r="J10" s="24" t="n">
        <v>0</v>
      </c>
      <c r="K10" s="4" t="s">
        <v>809</v>
      </c>
      <c r="L10" s="25" t="n">
        <f aca="false">DATEVALUE(H10)-DATEVALUE("2026-04-03")</f>
        <v>119</v>
      </c>
    </row>
    <row r="11" customFormat="false" ht="61.5" hidden="false" customHeight="true" outlineLevel="0" collapsed="false">
      <c r="A11" s="20" t="s">
        <v>810</v>
      </c>
      <c r="B11" s="9" t="s">
        <v>190</v>
      </c>
      <c r="C11" s="9" t="s">
        <v>788</v>
      </c>
      <c r="D11" s="4" t="s">
        <v>811</v>
      </c>
      <c r="E11" s="9" t="s">
        <v>812</v>
      </c>
      <c r="F11" s="4" t="s">
        <v>813</v>
      </c>
      <c r="G11" s="9" t="s">
        <v>814</v>
      </c>
      <c r="H11" s="9" t="s">
        <v>815</v>
      </c>
      <c r="I11" s="20" t="s">
        <v>774</v>
      </c>
      <c r="J11" s="24" t="n">
        <v>0.15</v>
      </c>
      <c r="K11" s="4" t="s">
        <v>816</v>
      </c>
      <c r="L11" s="25" t="n">
        <f aca="false">DATEVALUE(H11)-DATEVALUE("2026-04-03")</f>
        <v>103</v>
      </c>
    </row>
    <row r="12" customFormat="false" ht="61.5" hidden="false" customHeight="true" outlineLevel="0" collapsed="false">
      <c r="A12" s="20" t="s">
        <v>817</v>
      </c>
      <c r="B12" s="9" t="s">
        <v>322</v>
      </c>
      <c r="C12" s="9" t="s">
        <v>788</v>
      </c>
      <c r="D12" s="4" t="s">
        <v>818</v>
      </c>
      <c r="E12" s="9" t="s">
        <v>89</v>
      </c>
      <c r="F12" s="4" t="s">
        <v>819</v>
      </c>
      <c r="G12" s="9" t="s">
        <v>814</v>
      </c>
      <c r="H12" s="9" t="s">
        <v>820</v>
      </c>
      <c r="I12" s="20" t="s">
        <v>774</v>
      </c>
      <c r="J12" s="24" t="n">
        <v>0.2</v>
      </c>
      <c r="K12" s="4" t="s">
        <v>821</v>
      </c>
      <c r="L12" s="25" t="n">
        <f aca="false">DATEVALUE(H12)-DATEVALUE("2026-04-03")</f>
        <v>77</v>
      </c>
    </row>
    <row r="13" customFormat="false" ht="61.5" hidden="false" customHeight="true" outlineLevel="0" collapsed="false">
      <c r="A13" s="20" t="s">
        <v>822</v>
      </c>
      <c r="B13" s="9" t="s">
        <v>440</v>
      </c>
      <c r="C13" s="9" t="s">
        <v>788</v>
      </c>
      <c r="D13" s="4" t="s">
        <v>823</v>
      </c>
      <c r="E13" s="9" t="s">
        <v>89</v>
      </c>
      <c r="F13" s="4" t="s">
        <v>824</v>
      </c>
      <c r="G13" s="9" t="s">
        <v>825</v>
      </c>
      <c r="H13" s="9" t="s">
        <v>826</v>
      </c>
      <c r="I13" s="20" t="s">
        <v>792</v>
      </c>
      <c r="J13" s="24" t="n">
        <v>0</v>
      </c>
      <c r="K13" s="4" t="s">
        <v>827</v>
      </c>
      <c r="L13" s="25" t="n">
        <f aca="false">DATEVALUE(H13)-DATEVALUE("2026-04-03")</f>
        <v>94</v>
      </c>
    </row>
    <row r="14" customFormat="false" ht="61.5" hidden="false" customHeight="true" outlineLevel="0" collapsed="false">
      <c r="A14" s="20" t="s">
        <v>828</v>
      </c>
      <c r="B14" s="9" t="s">
        <v>198</v>
      </c>
      <c r="C14" s="9" t="s">
        <v>788</v>
      </c>
      <c r="D14" s="4" t="s">
        <v>829</v>
      </c>
      <c r="E14" s="9" t="s">
        <v>104</v>
      </c>
      <c r="F14" s="4" t="s">
        <v>830</v>
      </c>
      <c r="G14" s="9" t="s">
        <v>773</v>
      </c>
      <c r="H14" s="9" t="s">
        <v>791</v>
      </c>
      <c r="I14" s="20" t="s">
        <v>792</v>
      </c>
      <c r="J14" s="24" t="n">
        <v>0</v>
      </c>
      <c r="K14" s="4" t="s">
        <v>831</v>
      </c>
      <c r="L14" s="25" t="n">
        <f aca="false">DATEVALUE(H14)-DATEVALUE("2026-04-03")</f>
        <v>88</v>
      </c>
    </row>
    <row r="15" customFormat="false" ht="61.5" hidden="false" customHeight="true" outlineLevel="0" collapsed="false">
      <c r="A15" s="20" t="s">
        <v>832</v>
      </c>
      <c r="B15" s="9" t="s">
        <v>538</v>
      </c>
      <c r="C15" s="9" t="s">
        <v>833</v>
      </c>
      <c r="D15" s="4" t="s">
        <v>834</v>
      </c>
      <c r="E15" s="9" t="s">
        <v>89</v>
      </c>
      <c r="F15" s="4" t="s">
        <v>835</v>
      </c>
      <c r="G15" s="9" t="s">
        <v>836</v>
      </c>
      <c r="H15" s="9" t="s">
        <v>837</v>
      </c>
      <c r="I15" s="20" t="s">
        <v>792</v>
      </c>
      <c r="J15" s="24" t="n">
        <v>0</v>
      </c>
      <c r="K15" s="4" t="s">
        <v>838</v>
      </c>
      <c r="L15" s="25" t="n">
        <f aca="false">DATEVALUE(H15)-DATEVALUE("2026-04-03")</f>
        <v>150</v>
      </c>
    </row>
    <row r="16" customFormat="false" ht="61.5" hidden="false" customHeight="true" outlineLevel="0" collapsed="false">
      <c r="A16" s="20" t="s">
        <v>839</v>
      </c>
      <c r="B16" s="9" t="s">
        <v>612</v>
      </c>
      <c r="C16" s="9" t="s">
        <v>833</v>
      </c>
      <c r="D16" s="4" t="s">
        <v>840</v>
      </c>
      <c r="E16" s="9" t="s">
        <v>89</v>
      </c>
      <c r="F16" s="4" t="s">
        <v>841</v>
      </c>
      <c r="G16" s="9" t="s">
        <v>784</v>
      </c>
      <c r="H16" s="9" t="s">
        <v>842</v>
      </c>
      <c r="I16" s="20" t="s">
        <v>774</v>
      </c>
      <c r="J16" s="24" t="n">
        <v>0.5</v>
      </c>
      <c r="K16" s="4" t="s">
        <v>843</v>
      </c>
      <c r="L16" s="25" t="n">
        <f aca="false">DATEVALUE(H16)-DATEVALUE("2026-04-03")</f>
        <v>133</v>
      </c>
    </row>
    <row r="17" customFormat="false" ht="61.5" hidden="false" customHeight="true" outlineLevel="0" collapsed="false">
      <c r="A17" s="20" t="s">
        <v>844</v>
      </c>
      <c r="B17" s="9" t="s">
        <v>389</v>
      </c>
      <c r="C17" s="9" t="s">
        <v>833</v>
      </c>
      <c r="D17" s="4" t="s">
        <v>845</v>
      </c>
      <c r="E17" s="9" t="s">
        <v>104</v>
      </c>
      <c r="F17" s="4" t="s">
        <v>846</v>
      </c>
      <c r="G17" s="9" t="s">
        <v>847</v>
      </c>
      <c r="H17" s="9" t="s">
        <v>837</v>
      </c>
      <c r="I17" s="20" t="s">
        <v>792</v>
      </c>
      <c r="J17" s="24" t="n">
        <v>0</v>
      </c>
      <c r="K17" s="4" t="s">
        <v>848</v>
      </c>
      <c r="L17" s="25" t="n">
        <f aca="false">DATEVALUE(H17)-DATEVALUE("2026-04-03")</f>
        <v>150</v>
      </c>
    </row>
    <row r="18" customFormat="false" ht="61.5" hidden="false" customHeight="true" outlineLevel="0" collapsed="false">
      <c r="A18" s="20" t="s">
        <v>849</v>
      </c>
      <c r="B18" s="9" t="s">
        <v>425</v>
      </c>
      <c r="C18" s="9" t="s">
        <v>833</v>
      </c>
      <c r="D18" s="4" t="s">
        <v>850</v>
      </c>
      <c r="E18" s="9" t="s">
        <v>851</v>
      </c>
      <c r="F18" s="4" t="s">
        <v>852</v>
      </c>
      <c r="G18" s="9" t="s">
        <v>825</v>
      </c>
      <c r="H18" s="9" t="s">
        <v>791</v>
      </c>
      <c r="I18" s="20" t="s">
        <v>774</v>
      </c>
      <c r="J18" s="24" t="n">
        <v>0.3</v>
      </c>
      <c r="K18" s="4" t="s">
        <v>853</v>
      </c>
      <c r="L18" s="25" t="n">
        <f aca="false">DATEVALUE(H18)-DATEVALUE("2026-04-03")</f>
        <v>88</v>
      </c>
    </row>
    <row r="19" customFormat="false" ht="61.5" hidden="false" customHeight="true" outlineLevel="0" collapsed="false">
      <c r="A19" s="20" t="s">
        <v>854</v>
      </c>
      <c r="B19" s="9" t="s">
        <v>365</v>
      </c>
      <c r="C19" s="9" t="s">
        <v>833</v>
      </c>
      <c r="D19" s="4" t="s">
        <v>855</v>
      </c>
      <c r="E19" s="9" t="s">
        <v>89</v>
      </c>
      <c r="F19" s="4" t="s">
        <v>856</v>
      </c>
      <c r="G19" s="9" t="s">
        <v>857</v>
      </c>
      <c r="H19" s="9" t="s">
        <v>858</v>
      </c>
      <c r="I19" s="20" t="s">
        <v>792</v>
      </c>
      <c r="J19" s="24" t="n">
        <v>0</v>
      </c>
      <c r="K19" s="4" t="s">
        <v>859</v>
      </c>
      <c r="L19" s="25" t="n">
        <f aca="false">DATEVALUE(H19)-DATEVALUE("2026-04-03")</f>
        <v>241</v>
      </c>
    </row>
    <row r="20" customFormat="false" ht="61.5" hidden="false" customHeight="true" outlineLevel="0" collapsed="false">
      <c r="A20" s="20" t="s">
        <v>860</v>
      </c>
      <c r="B20" s="9" t="s">
        <v>745</v>
      </c>
      <c r="C20" s="9" t="s">
        <v>861</v>
      </c>
      <c r="D20" s="4" t="s">
        <v>862</v>
      </c>
      <c r="E20" s="9" t="s">
        <v>89</v>
      </c>
      <c r="F20" s="4" t="s">
        <v>863</v>
      </c>
      <c r="G20" s="9" t="s">
        <v>836</v>
      </c>
      <c r="H20" s="9" t="s">
        <v>808</v>
      </c>
      <c r="I20" s="20" t="s">
        <v>792</v>
      </c>
      <c r="J20" s="24" t="n">
        <v>0</v>
      </c>
      <c r="K20" s="4" t="s">
        <v>864</v>
      </c>
      <c r="L20" s="25" t="n">
        <f aca="false">DATEVALUE(H20)-DATEVALUE("2026-04-03")</f>
        <v>119</v>
      </c>
    </row>
    <row r="21" customFormat="false" ht="61.5" hidden="false" customHeight="true" outlineLevel="0" collapsed="false">
      <c r="A21" s="20" t="s">
        <v>865</v>
      </c>
      <c r="B21" s="9" t="s">
        <v>167</v>
      </c>
      <c r="C21" s="9" t="s">
        <v>788</v>
      </c>
      <c r="D21" s="4" t="s">
        <v>866</v>
      </c>
      <c r="E21" s="9" t="s">
        <v>104</v>
      </c>
      <c r="F21" s="4" t="s">
        <v>867</v>
      </c>
      <c r="G21" s="9" t="s">
        <v>825</v>
      </c>
      <c r="H21" s="9" t="s">
        <v>868</v>
      </c>
      <c r="I21" s="20" t="s">
        <v>774</v>
      </c>
      <c r="J21" s="24" t="n">
        <v>0.5</v>
      </c>
      <c r="K21" s="4" t="s">
        <v>869</v>
      </c>
      <c r="L21" s="25" t="n">
        <f aca="false">DATEVALUE(H21)-DATEVALUE("2026-04-03")</f>
        <v>180</v>
      </c>
    </row>
    <row r="22" customFormat="false" ht="61.5" hidden="false" customHeight="true" outlineLevel="0" collapsed="false">
      <c r="A22" s="20" t="s">
        <v>870</v>
      </c>
      <c r="B22" s="9" t="s">
        <v>440</v>
      </c>
      <c r="C22" s="9" t="s">
        <v>833</v>
      </c>
      <c r="D22" s="4" t="s">
        <v>871</v>
      </c>
      <c r="E22" s="9" t="s">
        <v>89</v>
      </c>
      <c r="F22" s="4" t="s">
        <v>872</v>
      </c>
      <c r="G22" s="9" t="s">
        <v>847</v>
      </c>
      <c r="H22" s="9" t="s">
        <v>815</v>
      </c>
      <c r="I22" s="20" t="s">
        <v>792</v>
      </c>
      <c r="J22" s="24" t="n">
        <v>0</v>
      </c>
      <c r="K22" s="4" t="s">
        <v>873</v>
      </c>
      <c r="L22" s="25" t="n">
        <f aca="false">DATEVALUE(H22)-DATEVALUE("2026-04-03")</f>
        <v>103</v>
      </c>
    </row>
    <row r="23" customFormat="false" ht="61.5" hidden="false" customHeight="true" outlineLevel="0" collapsed="false">
      <c r="A23" s="20" t="s">
        <v>874</v>
      </c>
      <c r="B23" s="9" t="s">
        <v>167</v>
      </c>
      <c r="C23" s="9" t="s">
        <v>788</v>
      </c>
      <c r="D23" s="4" t="s">
        <v>875</v>
      </c>
      <c r="E23" s="9" t="s">
        <v>876</v>
      </c>
      <c r="F23" s="4" t="s">
        <v>877</v>
      </c>
      <c r="G23" s="9" t="s">
        <v>814</v>
      </c>
      <c r="H23" s="9" t="s">
        <v>785</v>
      </c>
      <c r="I23" s="20" t="s">
        <v>774</v>
      </c>
      <c r="J23" s="24" t="n">
        <v>0.7</v>
      </c>
      <c r="K23" s="4" t="s">
        <v>878</v>
      </c>
      <c r="L23" s="25" t="n">
        <f aca="false">DATEVALUE(H23)-DATEVALUE("2026-04-03")</f>
        <v>73</v>
      </c>
    </row>
    <row r="25" customFormat="false" ht="15" hidden="false" customHeight="false" outlineLevel="0" collapsed="false">
      <c r="A25" s="6" t="s">
        <v>879</v>
      </c>
      <c r="D25" s="6" t="str">
        <f aca="false">"Items: "&amp;COUNTA(A4:A23)&amp;"   |   Complete: "&amp;COUNTIF(I4:I23,"Complete")&amp;"   |   In Progress: "&amp;COUNTIF(I4:I23,"In Progress")&amp;"   |   Not Started: "&amp;COUNTIF(I4:I23,"Not Started")</f>
        <v>Items: 20   |   Complete: 1   |   In Progress: 10   |   Not Started: 9</v>
      </c>
      <c r="J25" s="26" t="n">
        <f aca="false">AVERAGE(J4:J23)</f>
        <v>0.2465</v>
      </c>
      <c r="K25" s="4" t="s">
        <v>880</v>
      </c>
    </row>
  </sheetData>
  <autoFilter ref="A3:L23"/>
  <mergeCells count="2">
    <mergeCell ref="A1:L1"/>
    <mergeCell ref="A2:L2"/>
  </mergeCells>
  <conditionalFormatting sqref="I4:I23">
    <cfRule type="cellIs" priority="2" operator="equal" aboveAverage="0" equalAverage="0" bottom="0" percent="0" rank="0" text="" dxfId="13">
      <formula>"Complete"</formula>
    </cfRule>
    <cfRule type="cellIs" priority="3" operator="equal" aboveAverage="0" equalAverage="0" bottom="0" percent="0" rank="0" text="" dxfId="9">
      <formula>"In Progress"</formula>
    </cfRule>
    <cfRule type="cellIs" priority="4" operator="equal" aboveAverage="0" equalAverage="0" bottom="0" percent="0" rank="0" text="" dxfId="22">
      <formula>"Not Started"</formula>
    </cfRule>
  </conditionalFormatting>
  <conditionalFormatting sqref="C4:C23">
    <cfRule type="cellIs" priority="5" operator="equal" aboveAverage="0" equalAverage="0" bottom="0" percent="0" rank="0" text="" dxfId="7">
      <formula>"1 - Immediate"</formula>
    </cfRule>
    <cfRule type="cellIs" priority="6" operator="equal" aboveAverage="0" equalAverage="0" bottom="0" percent="0" rank="0" text="" dxfId="8">
      <formula>"2 - High"</formula>
    </cfRule>
    <cfRule type="cellIs" priority="7" operator="equal" aboveAverage="0" equalAverage="0" bottom="0" percent="0" rank="0" text="" dxfId="9">
      <formula>"3 - Moderate"</formula>
    </cfRule>
    <cfRule type="cellIs" priority="8" operator="equal" aboveAverage="0" equalAverage="0" bottom="0" percent="0" rank="0" text="" dxfId="13">
      <formula>"4 - Low"</formula>
    </cfRule>
  </conditionalFormatting>
  <dataValidations count="1">
    <dataValidation allowBlank="true" errorStyle="stop" operator="between" showDropDown="false" showErrorMessage="false" showInputMessage="false" sqref="I4:I23" type="list">
      <formula1>"Not Started,In Progress,Complete,Deferred"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2026-08-14T00:39:44Z</dcterms:created>
  <dc:creator>openpyxl</dc:creator>
  <dc:description/>
  <dc:language>en-US</dc:language>
  <cp:lastModifiedBy/>
  <dcterms:modified xsi:type="dcterms:W3CDTF">2026-08-14T00:39:45Z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